
<file path=[Content_Types].xml><?xml version="1.0" encoding="utf-8"?>
<ns0:Types xmlns:ns0="http://schemas.openxmlformats.org/package/2006/content-types">
  <ns0:Default Extension="xml" ContentType="application/xml"/>
  <ns0:Default Extension="rels" ContentType="application/vnd.openxmlformats-package.relationships+xml"/>
  <ns0:Default Extension="png" ContentType="image/png"/>
  <ns0:Default Extension="jpeg" ContentType="image/jpeg"/>
  <ns0:Override PartName="/xl/_rels/workbook.xml.rels" ContentType="application/vnd.openxmlformats-package.relationships+xml"/>
  <ns0:Override PartName="/xl/workbook.xml" ContentType="application/vnd.openxmlformats-officedocument.spreadsheetml.sheet.main+xml"/>
  <ns0:Override PartName="/xl/theme/theme1.xml" ContentType="application/vnd.openxmlformats-officedocument.theme+xml"/>
  <ns0:Override PartName="/xl/styles.xml" ContentType="application/vnd.openxmlformats-officedocument.spreadsheetml.styles+xml"/>
  <ns0:Override PartName="/xl/worksheets/_rels/sheet1.xml.rels" ContentType="application/vnd.openxmlformats-package.relationships+xml"/>
  <ns0:Override PartName="/xl/worksheets/sheet1.xml" ContentType="application/vnd.openxmlformats-officedocument.spreadsheetml.worksheet+xml"/>
  <ns0:Override PartName="/xl/worksheets/sheet2.xml" ContentType="application/vnd.openxmlformats-officedocument.spreadsheetml.worksheet+xml"/>
  <ns0:Override PartName="/xl/sharedStrings.xml" ContentType="application/vnd.openxmlformats-officedocument.spreadsheetml.sharedStrings+xml"/>
  <ns0:Override PartName="/xl/drawings/drawing1.xml" ContentType="application/vnd.openxmlformats-officedocument.drawing+xml"/>
  <ns0:Override PartName="/_rels/.rels" ContentType="application/vnd.openxmlformats-package.relationships+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 Id="rId4" Type="http://schemas.openxmlformats.org/officeDocument/2006/relationships/custom-properties" Target="docProps/custom.xml" />
</ns0:Relationships>
</file>

<file path=xl/workbook.xml><?xml version="1.0" encoding="utf-8"?>
<ns0:workbook xmlns:ns0="http://schemas.openxmlformats.org/spreadsheetml/2006/main" xmlns:ns1="http://schemas.openxmlformats.org/officeDocument/2006/relationships" xmlns:ns2="http://schemas.libreoffice.org/">
  <ns0:fileVersion appName="Calc"/>
  <ns0:workbookPr backupFile="false" showObjects="all" date1904="false"/>
  <ns0:workbookProtection/>
  <ns0:bookViews>
    <ns0:workbookView showHorizontalScroll="true" showVerticalScroll="true" showSheetTabs="true" xWindow="0" yWindow="0" windowWidth="16384" windowHeight="8192" tabRatio="600" firstSheet="0" activeTab="0"/>
  </ns0:bookViews>
  <ns0:sheets>
    <ns0:sheet name="Decide" sheetId="1" state="visible" ns1:id="rId3"/>
    <ns0:sheet name="How to use" sheetId="2" state="visible" ns1:id="rId4"/>
  </ns0:sheets>
  <ns0:definedNames>
    <ns0:definedName function="false" hidden="true" localSheetId="0" name="_xlnm._FilterDatabase" vbProcedure="false">Decide!$A$1:$Q$132</ns0:definedName>
  </ns0:definedNames>
  <ns0:calcPr iterateCount="100" refMode="A1" iterate="false" iterateDelta="0.001"/>
  <ns0:extLst>
    <ns0:ext uri="{7626C862-2A13-11E5-B345-FEFF819CDC9F}">
      <ns2:extCalcPr stringRefSyntax="ExcelA1"/>
    </ns0:ext>
  </ns0:extLst>
</ns0:workbook>
</file>

<file path=xl/sharedStrings.xml><?xml version="1.0" encoding="utf-8"?>
<ns0:sst xmlns:ns0="http://schemas.openxmlformats.org/spreadsheetml/2006/main" count="1315" uniqueCount="700">
  <ns0:si>
    <ns0:t xml:space="preserve">#</ns0:t>
  </ns0:si>
  <ns0:si>
    <ns0:t xml:space="preserve">Decision</ns0:t>
  </ns0:si>
  <ns0:si>
    <ns0:t xml:space="preserve">Note</ns0:t>
  </ns0:si>
  <ns0:si>
    <ns0:t xml:space="preserve">Type</ns0:t>
  </ns0:si>
  <ns0:si>
    <ns0:t xml:space="preserve">Row</ns0:t>
  </ns0:si>
  <ns0:si>
    <ns0:t xml:space="preserve">Company</ns0:t>
  </ns0:si>
  <ns0:si>
    <ns0:t xml:space="preserve">What</ns0:t>
  </ns0:si>
  <ns0:si>
    <ns0:t xml:space="preserve">Paper</ns0:t>
  </ns0:si>
  <ns0:si>
    <ns0:t xml:space="preserve">Paper's date</ns0:t>
  </ns0:si>
  <ns0:si>
    <ns0:t xml:space="preserve">Found</ns0:t>
  </ns0:si>
  <ns0:si>
    <ns0:t xml:space="preserve">Found's date</ns0:t>
  </ns0:si>
  <ns0:si>
    <ns0:t xml:space="preserve">Source</ns0:t>
  </ns0:si>
  <ns0:si>
    <ns0:t xml:space="preserve">Quote</ns0:t>
  </ns0:si>
  <ns0:si>
    <ns0:t xml:space="preserve">Seen</ns0:t>
  </ns0:si>
  <ns0:si>
    <ns0:t xml:space="preserve">Paper section</ns0:t>
  </ns0:si>
  <ns0:si>
    <ns0:t xml:space="preserve">Reader's note</ns0:t>
  </ns0:si>
  <ns0:si>
    <ns0:t xml:space="preserve">ID (do not edit)</ns0:t>
  </ns0:si>
  <ns0:si>
    <ns0:t xml:space="preserve">Figure update</ns0:t>
  </ns0:si>
  <ns0:si>
    <ns0:t xml:space="preserve">F046</ns0:t>
  </ns0:si>
  <ns0:si>
    <ns0:t xml:space="preserve">Meta</ns0:t>
  </ns0:si>
  <ns0:si>
    <ns0:t xml:space="preserve">Louisiana data centre venture (Hyperion): total project cost</ns0:t>
  </ns0:si>
  <ns0:si>
    <ns0:t xml:space="preserve">30 $bn</ns0:t>
  </ns0:si>
  <ns0:si>
    <ns0:t xml:space="preserve">2026-02-19 (instant)</ns0:t>
  </ns0:si>
  <ns0:si>
    <ns0:t xml:space="preserve">27 $bn</ns0:t>
  </ns0:si>
  <ns0:si>
    <ns0:t xml:space="preserve">2026-06-30 (instant)</ns0:t>
  </ns0:si>
  <ns0:si>
    <ns0:t xml:space="preserve">value: “The parties have committed to fund their respective pro rata share of approximately $ 27 billion in total estimated development costs.”
context: “Our non-marketable equity method investments include an arrangement, entered into in October 2025, to co-develop a data center campus in Louisiana (the Venture), in which we hold a 20 % membership interest.”</ns0:t>
  </ns0:si>
  <ns0:si>
    <ns0:t xml:space="preserve">2 runs: first 2026-09-28, last 2026-09-28</ns0:t>
  </ns0:si>
  <ns0:si>
    <ns0:t xml:space="preserve">Hidden figures</ns0:t>
  </ns0:si>
  <ns0:si>
    <ns0:t xml:space="preserve">B:F046:META_total#148.250</ns0:t>
  </ns0:si>
  <ns0:si>
    <ns0:t xml:space="preserve">F059</ns0:t>
  </ns0:si>
  <ns0:si>
    <ns0:t xml:space="preserve">Oracle</ns0:t>
  </ns0:si>
  <ns0:si>
    <ns0:t xml:space="preserve">Oracle additional lease commitments</ns0:t>
  </ns0:si>
  <ns0:si>
    <ns0:t xml:space="preserve">260 $bn</ns0:t>
  </ns0:si>
  <ns0:si>
    <ns0:t xml:space="preserve">2026-05-31 (instant)</ns0:t>
  </ns0:si>
  <ns0:si>
    <ns0:t xml:space="preserve">288 $bn</ns0:t>
  </ns0:si>
  <ns0:si>
    <ns0:t xml:space="preserve">2026-08-31 (instant)</ns0:t>
  </ns0:si>
  <ns0:si>
    <ns0:t xml:space="preserve">value: “As of August 31, 2026 , we had $ 288 billion of additional lease commitments, substantially all related to data center arrangements”
context: “that are generally expected to commence between the second quarter of fiscal 2027 a nd fiscal 2029 and for terms of fifteen to nineteen years that were not reflected on our condensed consolidated balance sheets as of August 31, 2026 or in the maturities table above.”</ns0:t>
  </ns0:si>
  <ns0:si>
    <ns0:t xml:space="preserve">4 runs: first 2026-09-28, last 2026-09-28</ns0:t>
  </ns0:si>
  <ns0:si>
    <ns0:t xml:space="preserve">Contractual obligation</ns0:t>
  </ns0:si>
  <ns0:si>
    <ns0:t xml:space="preserve">B:F059:ORCL#116.133.150.252</ns0:t>
  </ns0:si>
  <ns0:si>
    <ns0:t xml:space="preserve">F060</ns0:t>
  </ns0:si>
  <ns0:si>
    <ns0:t xml:space="preserve">Meta leases not yet commenced</ns0:t>
  </ns0:si>
  <ns0:si>
    <ns0:t xml:space="preserve">103.77 $bn</ns0:t>
  </ns0:si>
  <ns0:si>
    <ns0:t xml:space="preserve">2025-12-31 (instant)</ns0:t>
  </ns0:si>
  <ns0:si>
    <ns0:t xml:space="preserve">278.99 $bn</ns0:t>
  </ns0:si>
  <ns0:si>
    <ns0:t xml:space="preserve">value: “These lease obligations were approximately $ 278.99 billion, consisting of data centers, colocations, and certain network infrastructure, which will commence during the remainder of 2026 through 2036 with lease terms ranging from greater than one year to 30 years.”
context: “In addition to the lease liabilities that are included on our balance sheet, we have operating and finance leases that have not yet commenced as of June 30, 2026.”</ns0:t>
  </ns0:si>
  <ns0:si>
    <ns0:t xml:space="preserve">B:F060:META#149.251</ns0:t>
  </ns0:si>
  <ns0:si>
    <ns0:t xml:space="preserve">F061</ns0:t>
  </ns0:si>
  <ns0:si>
    <ns0:t xml:space="preserve">Amazon</ns0:t>
  </ns0:si>
  <ns0:si>
    <ns0:t xml:space="preserve">Amazon leases not yet commenced</ns0:t>
  </ns0:si>
  <ns0:si>
    <ns0:t xml:space="preserve">106.347 $bn</ns0:t>
  </ns0:si>
  <ns0:si>
    <ns0:t xml:space="preserve">2026-03-31 (instant)</ns0:t>
  </ns0:si>
  <ns0:si>
    <ns0:t xml:space="preserve">137.214 $bn</ns0:t>
  </ns0:si>
  <ns0:si>
    <ns0:t xml:space="preserve">value: “Leases not yet commenced | 4,018 | 11,732 | 9,278 | 9,483 | 9,227 | 93,476 | 137,214”
units: “The following summarizes our principal contractual commitments, excluding open orders for purchases that support normal operations and are generally cancellable, as of June 30, 2026 (in millions):”</ns0:t>
  </ns0:si>
  <ns0:si>
    <ns0:t xml:space="preserve">B:F061:AMZN#145.247</ns0:t>
  </ns0:si>
  <ns0:si>
    <ns0:t xml:space="preserve">F062</ns0:t>
  </ns0:si>
  <ns0:si>
    <ns0:t xml:space="preserve">Amazon unconditional purchase obligations</ns0:t>
  </ns0:si>
  <ns0:si>
    <ns0:t xml:space="preserve">103.768 $bn</ns0:t>
  </ns0:si>
  <ns0:si>
    <ns0:t xml:space="preserve">130.065 $bn</ns0:t>
  </ns0:si>
  <ns0:si>
    <ns0:t xml:space="preserve">value: “Unconditional purchase obligations (2) | 23,452 | 33,026 | 9,326 | 7,961 | 7,659 | 48,641 | 130,065”
units: “The following summarizes our principal contractual commitments, excluding open orders for purchases that support normal operations and are generally cancellable, as of June 30, 2026 (in millions):”</ns0:t>
  </ns0:si>
  <ns0:si>
    <ns0:t xml:space="preserve">B:F062:AMZN#146.248</ns0:t>
  </ns0:si>
  <ns0:si>
    <ns0:t xml:space="preserve">F063</ns0:t>
  </ns0:si>
  <ns0:si>
    <ns0:t xml:space="preserve">Alphabet</ns0:t>
  </ns0:si>
  <ns0:si>
    <ns0:t xml:space="preserve">Alphabet leases not yet commenced</ns0:t>
  </ns0:si>
  <ns0:si>
    <ns0:t xml:space="preserve">58.5 $bn</ns0:t>
  </ns0:si>
  <ns0:si>
    <ns0:t xml:space="preserve">85.2 $bn</ns0:t>
  </ns0:si>
  <ns0:si>
    <ns0:t xml:space="preserve">value: “As of June 30, 2026, we have entered into leases, primarily related to data centers, that have not yet commenced with future lease payments of $ 85.2 billion that are not yet recorded.”
context: “Additionally, in June 2026, we entered into a short-term lease agreement with a non-cancelable commitment of approximately $ 5.8 billion, which will commence in the third quarter of 2026.”</ns0:t>
  </ns0:si>
  <ns0:si>
    <ns0:t xml:space="preserve">B:F063:GOOGL#147.249</ns0:t>
  </ns0:si>
  <ns0:si>
    <ns0:t xml:space="preserve">F065</ns0:t>
  </ns0:si>
  <ns0:si>
    <ns0:t xml:space="preserve">first quarter in which the leases commence</ns0:t>
  </ns0:si>
  <ns0:si>
    <ns0:t xml:space="preserve">first quarter of fiscal 2027 text</ns0:t>
  </ns0:si>
  <ns0:si>
    <ns0:t xml:space="preserve">second quarter of fiscal 2027 text</ns0:t>
  </ns0:si>
  <ns0:si>
    <ns0:t xml:space="preserve">value: “that are generally expected to commence between the second quarter of fiscal 2027 a nd fiscal 2029 and for terms of fifteen to nineteen years that were not reflected on our condensed consolidated balance sheets as of August 31, 2026 or in the maturities table above.”</ns0:t>
  </ns0:si>
  <ns0:si>
    <ns0:t xml:space="preserve">text differs</ns0:t>
  </ns0:si>
  <ns0:si>
    <ns0:t xml:space="preserve">B:F065:ORCL_start#117.134.152.254</ns0:t>
  </ns0:si>
  <ns0:si>
    <ns0:t xml:space="preserve">approve</ns0:t>
  </ns0:si>
  <ns0:si>
    <ns0:t xml:space="preserve">F141</ns0:t>
  </ns0:si>
  <ns0:si>
    <ns0:t xml:space="preserve">CoreWeave</ns0:t>
  </ns0:si>
  <ns0:si>
    <ns0:t xml:space="preserve">CoreWeave gross technology equipment</ns0:t>
  </ns0:si>
  <ns0:si>
    <ns0:t xml:space="preserve">20.903 $bn</ns0:t>
  </ns0:si>
  <ns0:si>
    <ns0:t xml:space="preserve">33.823 $bn</ns0:t>
  </ns0:si>
  <ns0:si>
    <ns0:t xml:space="preserve">value: “Technology equipment | $33,823 | $20,903”
context: “Property and equipment, net, consisted of the following (in millions):”</ns0:t>
  </ns0:si>
  <ns0:si>
    <ns0:t xml:space="preserve">3 runs: first 2026-09-28, last 2026-09-28</ns0:t>
  </ns0:si>
  <ns0:si>
    <ns0:t xml:space="preserve">Who holds the exposure? · Tests 1, 2, 3, 5</ns0:t>
  </ns0:si>
  <ns0:si>
    <ns0:t xml:space="preserve">B:F141:CRWV_te#109.151.253</ns0:t>
  </ns0:si>
  <ns0:si>
    <ns0:t xml:space="preserve">keep paper</ns0:t>
  </ns0:si>
  <ns0:si>
    <ns0:t xml:space="preserve">typed in LibreOffice</ns0:t>
  </ns0:si>
  <ns0:si>
    <ns0:t xml:space="preserve">Part A figure</ns0:t>
  </ns0:si>
  <ns0:si>
    <ns0:t xml:space="preserve">F015</ns0:t>
  </ns0:si>
  <ns0:si>
    <ns0:t xml:space="preserve">Oracle cash and cash equivalents</ns0:t>
  </ns0:si>
  <ns0:si>
    <ns0:t xml:space="preserve">31.289 $bn</ns0:t>
  </ns0:si>
  <ns0:si>
    <ns0:t xml:space="preserve">2026-05-31</ns0:t>
  </ns0:si>
  <ns0:si>
    <ns0:t xml:space="preserve">36.369 $bn</ns0:t>
  </ns0:si>
  <ns0:si>
    <ns0:t xml:space="preserve">2026-08-31</ns0:t>
  </ns0:si>
  <ns0:si>
    <ns0:t xml:space="preserve">From the SEC's labelled data (no quote).</ns0:t>
  </ns0:si>
  <ns0:si>
    <ns0:t xml:space="preserve">1 run: first 2026-09-26</ns0:t>
  </ns0:si>
  <ns0:si>
    <ns0:t xml:space="preserve">Funding</ns0:t>
  </ns0:si>
  <ns0:si>
    <ns0:t xml:space="preserve">The paper deliberately quotes the year-end balance and says so.</ns0:t>
  </ns0:si>
  <ns0:si>
    <ns0:t xml:space="preserve">A:F015:Oracle cash and cash equivalents#1</ns0:t>
  </ns0:si>
  <ns0:si>
    <ns0:t xml:space="preserve">F017</ns0:t>
  </ns0:si>
  <ns0:si>
    <ns0:t xml:space="preserve">Meta capex incl. finance-lease principal, quarter</ns0:t>
  </ns0:si>
  <ns0:si>
    <ns0:t xml:space="preserve">2026-06-30</ns0:t>
  </ns0:si>
  <ns0:si>
    <ns0:t xml:space="preserve">31.078 $bn</ns0:t>
  </ns0:si>
  <ns0:si>
    <ns0:t xml:space="preserve">Intro</ns0:t>
  </ns0:si>
  <ns0:si>
    <ns0:t xml:space="preserve">the filings give a different figure for the same period
Known issue: the paper says '$30 billions'; the release gives $31.08bn.</ns0:t>
  </ns0:si>
  <ns0:si>
    <ns0:t xml:space="preserve">A:F017:Meta capex incl. finance-lease principal, quarter#3</ns0:t>
  </ns0:si>
  <ns0:si>
    <ns0:t xml:space="preserve">2025-12-31</ns0:t>
  </ns0:si>
  <ns0:si>
    <ns0:t xml:space="preserve">Meta files this amount under a general 'purchase obligation' label; confirm in the 10-Q text that it is still the leases figure.</ns0:t>
  </ns0:si>
  <ns0:si>
    <ns0:t xml:space="preserve">A:F060:Meta leases not yet commenced#2</ns0:t>
  </ns0:si>
  <ns0:si>
    <ns0:t xml:space="preserve">Arithmetic</ns0:t>
  </ns0:si>
  <ns0:si>
    <ns0:t xml:space="preserve">extra replacement bill if the life falls from six years to four</ns0:t>
  </ns0:si>
  <ns0:si>
    <ns0:t xml:space="preserve">16.9 % of revenue</ns0:t>
  </ns0:si>
  <ns0:si>
    <ns0:t xml:space="preserve">27.3649 % of revenue</ns0:t>
  </ns0:si>
  <ns0:si>
    <ns0:t xml:space="preserve">Formula: CRWV_te * (1/4 - 1/6) / (CRWV_rev * 4) * 100
Inputs: CRWV_rev = 2.575 (confirmed in 10-Q filed 2026-08-12); CRWV_te = 33.823 (newer figure in 10-Q filed 2026-08-12, 2026-06-30)</ns0:t>
  </ns0:si>
  <ns0:si>
    <ns0:t xml:space="preserve">B:F141:replacement_bill:formula#110.153.255</ns0:t>
  </ns0:si>
  <ns0:si>
    <ns0:t xml:space="preserve">use</ns0:t>
  </ns0:si>
  <ns0:si>
    <ns0:t xml:space="preserve">Lead</ns0:t>
  </ns0:si>
  <ns0:si>
    <ns0:t xml:space="preserve">F063, F131</ns0:t>
  </ns0:si>
  <ns0:si>
    <ns0:t xml:space="preserve">June 2026 equity and mandatory convertible preferred raise earmarked for AI infrastructure</ns0:t>
  </ns0:si>
  <ns0:si>
    <ns0:t xml:space="preserve">value: “In June 2026, we issued a combination of Class A stock and Class C stock and mandatory convertible preferred stock for aggregate net proceeds of $49.6 billion, to be used for general corporate purposes, including capital expenditures to scale AI infrastructure and global compute.”
value: “On June 1, 2026, the company entered into an equity distribution agreement with certain sales agents party thereto, pursuant to which we may sell both our Class A and Class C stock having aggregate sales proceeds of up to $ 40.0 billion from time to time through an at-the-market offering program (the "ATM Program").”</ns0:t>
  </ns0:si>
  <ns0:si>
    <ns0:t xml:space="preserve">2 runs: first 2026-09-26, last 2026-09-28</ns0:t>
  </ns0:si>
  <ns0:si>
    <ns0:t xml:space="preserve">AI's comment (not checked): Alphabet funded AI infrastructure with a large equity-linked raise and set up a further at-the-market equity program, a new source of financing beyond debt and leases.</ns0:t>
  </ns0:si>
  <ns0:si>
    <ns0:t xml:space="preserve">fact:GOOGL:59#202.208.303</ns0:t>
  </ns0:si>
  <ns0:si>
    <ns0:t xml:space="preserve">d</ns0:t>
  </ns0:si>
  <ns0:si>
    <ns0:t xml:space="preserve">F131</ns0:t>
  </ns0:si>
  <ns0:si>
    <ns0:t xml:space="preserve">Purchase commitments</ns0:t>
  </ns0:si>
  <ns0:si>
    <ns0:t xml:space="preserve">value: “As of June 30, 2026, we had material purchase commitments and other contractual obligations totaling $ 811.0 billion, of which $ 200.7 billion was short-term.”
context: “These purchase commitments primarily relate to costs for technical infrastructure and inventory through long-term supply agreements and open purchase orders.”</ns0:t>
  </ns0:si>
  <ns0:si>
    <ns0:t xml:space="preserve">AI's comment (not checked): Shows massive contracted spend for technical infrastructure and inventory.</ns0:t>
  </ns0:si>
  <ns0:si>
    <ns0:t xml:space="preserve">fact:GOOGL:65#209.309</ns0:t>
  </ns0:si>
  <ns0:si>
    <ns0:t xml:space="preserve">later</ns0:t>
  </ns0:si>
  <ns0:si>
    <ns0:t xml:space="preserve">Data center and energy backstops</ns0:t>
  </ns0:si>
  <ns0:si>
    <ns0:t xml:space="preserve">value: “As of June 30, 2026, we provided backstops in the form of financial guarantees and credit derivatives with maximum potential amount of future payments of $ 7.6 billion and $ 43.8 billion, respectively.”
context: “We have also entered into an agreement to provide an estimated $ 24.1 billion of future backstops to support the build-out of data center and energy supply infrastructure, subject to finalization of terms with data center providers.”</ns0:t>
  </ns0:si>
  <ns0:si>
    <ns0:t xml:space="preserve">AI's comment (not checked): Contingent guarantees and credit derivatives support third-party data center and energy build-out.</ns0:t>
  </ns0:si>
  <ns0:si>
    <ns0:t xml:space="preserve">fact:GOOGL:66#210.310</ns0:t>
  </ns0:si>
  <ns0:si>
    <ns0:t xml:space="preserve">Data center leases not yet commenced</ns0:t>
  </ns0:si>
  <ns0:si>
    <ns0:t xml:space="preserve">AI's comment (not checked): Discloses large off-balance-sheet data center lease commitments and a separate short-term lease commitment.</ns0:t>
  </ns0:si>
  <ns0:si>
    <ns0:t xml:space="preserve">fact:GOOGL:64#207.308</ns0:t>
  </ns0:si>
  <ns0:si>
    <ns0:t xml:space="preserve">F035</ns0:t>
  </ns0:si>
  <ns0:si>
    <ns0:t xml:space="preserve">Revenue backlog definition change to include contracts of one year or less</ns0:t>
  </ns0:si>
  <ns0:si>
    <ns0:t xml:space="preserve">value: “As of June 30, 2026, we had $ 519.5 billion of remaining performance obligations (“revenue backlog”), of which $ 513.9 billion related to Google Cloud.”
value: “In the first quarter of 2026, we elected to change our reporting of revenue backlog to also include contracts with an original expected term of one year or less.”</ns0:t>
  </ns0:si>
  <ns0:si>
    <ns0:t xml:space="preserve">1 run: first 2026-09-28</ns0:t>
  </ns0:si>
  <ns0:si>
    <ns0:t xml:space="preserve">What is AI earning now?</ns0:t>
  </ns0:si>
  <ns0:si>
    <ns0:t xml:space="preserve">AI's comment (not checked): A definition change widened reported backlog, so backlog comparisons with prior periods are not like for like and the backlog is largely a Google Cloud commitment.</ns0:t>
  </ns0:si>
  <ns0:si>
    <ns0:t xml:space="preserve">fact:GOOGL:67#211</ns0:t>
  </ns0:si>
  <ns0:si>
    <ns0:t xml:space="preserve">Future capital funding commitment</ns0:t>
  </ns0:si>
  <ns0:si>
    <ns0:t xml:space="preserve">value: “Additionally, as of June 30, 2026, we have $ 20.0 billion of future capital funding commitments with a private company contingent upon the achievement of specified operational and financial milestones through 2030, which is accounted for as an equity derivative.”</ns0:t>
  </ns0:si>
  <ns0:si>
    <ns0:t xml:space="preserve">AI's comment (not checked): Alphabet has a large contingent private-company funding commitment accounted for as an equity derivative.</ns0:t>
  </ns0:si>
  <ns0:si>
    <ns0:t xml:space="preserve">fact:GOOGL:96#311</ns0:t>
  </ns0:si>
  <ns0:si>
    <ns0:t xml:space="preserve">F041</ns0:t>
  </ns0:si>
  <ns0:si>
    <ns0:t xml:space="preserve">Unused at-the-market equity program</ns0:t>
  </ns0:si>
  <ns0:si>
    <ns0:t xml:space="preserve">value: “Additionally, we entered into an equity distribution agreement with certain sales agents to sell up to $40.0 billion of our Class A stock and Class C stock from time to time through an At-the-Market Program (ATM Program). The proceeds of the ATM Program are primarily intended to be used to meet tax obligations associat…”</ns0:t>
  </ns0:si>
  <ns0:si>
    <ns0:t xml:space="preserve">AI's comment (not checked): A large equity issuance facility is available but unused.</ns0:t>
  </ns0:si>
  <ns0:si>
    <ns0:t xml:space="preserve">fact:GOOGL:60#203</ns0:t>
  </ns0:si>
  <ns0:si>
    <ns0:t xml:space="preserve">Senior unsecured notes issuance</ns0:t>
  </ns0:si>
  <ns0:si>
    <ns0:t xml:space="preserve">value: “In the second quarter of 2026, we issued senior unsecured notes for net proceeds of $20.3 billion, to be used for general corporate purposes.”</ns0:t>
  </ns0:si>
  <ns0:si>
    <ns0:t xml:space="preserve">AI's comment (not checked): Adds new debt funding available for general corporate purposes, including AI-related investments.</ns0:t>
  </ns0:si>
  <ns0:si>
    <ns0:t xml:space="preserve">fact:GOOGL:61#204.304</ns0:t>
  </ns0:si>
  <ns0:si>
    <ns0:t xml:space="preserve">Negative quarterly free cash flow</ns0:t>
  </ns0:si>
  <ns0:si>
    <ns0:t xml:space="preserve">value: “Free cash flow | $24,461 | $24,551 | $10,116 | $(5,855) | $53,273”
column: “Quarter Ended | TTM Q3 2025 | Q4 2025 | Q1 2026 | Q2 2026 | Q2 2026”</ns0:t>
  </ns0:si>
  <ns0:si>
    <ns0:t xml:space="preserve">AI's comment (not checked): Quarterly free cash flow turned negative as capital expenditures exceeded operating cash flow.
Repeats the paper's 5,855 (F009); the rest is new</ns0:t>
  </ns0:si>
  <ns0:si>
    <ns0:t xml:space="preserve">fact:GOOGL:62#205.305.306</ns0:t>
  </ns0:si>
  <ns0:si>
    <ns0:t xml:space="preserve">Google Cloud AI-driven acceleration</ns0:t>
  </ns0:si>
  <ns0:si>
    <ns0:t xml:space="preserve">value: “Google Cloud saw a meaningful acceleration in growth as revenues increased 82% to $24.8 billion, led by an increase in Google Cloud Platform (GCP) across enterprise AI Solutions and enterprise AI Infrastructure, as well as core GCP services.”</ns0:t>
  </ns0:si>
  <ns0:si>
    <ns0:t xml:space="preserve">AI's comment (not checked): Confirms AI infrastructure and enterprise AI solutions are the cited drivers of Google Cloud revenue growth.
Repeats the paper's 24.8 (F041); the rest is new</ns0:t>
  </ns0:si>
  <ns0:si>
    <ns0:t xml:space="preserve">fact:GOOGL:63#206.307</ns0:t>
  </ns0:si>
  <ns0:si>
    <ns0:t xml:space="preserve">F108</ns0:t>
  </ns0:si>
  <ns0:si>
    <ns0:t xml:space="preserve">AWS–Anthropic commercial commitment expansion</ns0:t>
  </ns0:si>
  <ns0:si>
    <ns0:t xml:space="preserve">value: “In Q2 2026, AWS and Anthropic announced an expansion of the strategic collaboration and existing multi-year commitment by more than $ 100.0 billion over 10.0 years, which includes contractual obligations related to the performance of AWS chips.”</ns0:t>
  </ns0:si>
  <ns0:si>
    <ns0:t xml:space="preserve">AI's comment (not checked): Shows the commercial counterpart to the Anthropic preferred-stock investments and facility draw.</ns0:t>
  </ns0:si>
  <ns0:si>
    <ns0:t xml:space="preserve">fact:AMZN:55#197.198.298.299</ns0:t>
  </ns0:si>
  <ns0:si>
    <ns0:t xml:space="preserve">New debt capacity and post-quarter issuance</ns0:t>
  </ns0:si>
  <ns0:si>
    <ns0:t xml:space="preserve">value: “In June 2026, we entered into a $ 17.5 billion unsecured delayed draw term loan with a syndicate of lenders (“Term Loan”), which matures three years from the date of borrowing and bears interest at the SOFR specified in the Term Loan plus a margin ranging from 0.625 % to 0.875 % based on our credit ratings.”
value: “Subsequent to June 30, 2026, we issued $ 25.0 billion of U.S. Dollar-denominated Notes for general corporate purposes with maturities between 2029 and 2066, including $ 750 million of floating rate Notes due in 2029 based on the compounded SOFR plus 0.58 %.”</ns0:t>
  </ns0:si>
  <ns0:si>
    <ns0:t xml:space="preserve">AI's comment (not checked): Undrawn term-loan capacity plus a large post-quarter bond issuance funds AI infrastructure spend beyond the balance-sheet date.</ns0:t>
  </ns0:si>
  <ns0:si>
    <ns0:t xml:space="preserve">fact:AMZN:56#199.301</ns0:t>
  </ns0:si>
  <ns0:si>
    <ns0:t xml:space="preserve">F103, F108</ns0:t>
  </ns0:si>
  <ns0:si>
    <ns0:t xml:space="preserve">Contracted but unrecognized AWS commitments</ns0:t>
  </ns0:si>
  <ns0:si>
    <ns0:t xml:space="preserve">value: “For contracts with original terms that exceed one year, those commitments not yet recognized were approximately $ 496 billion as of June 30, 2026. The weighted-average remaining life of our long-term contracts is 6.4 years.”</ns0:t>
  </ns0:si>
  <ns0:si>
    <ns0:t xml:space="preserve">AI's comment (not checked): Sizes the future AWS revenue backlog and its duration, which underwrites the customer-linked AI infrastructure investments in these items.</ns0:t>
  </ns0:si>
  <ns0:si>
    <ns0:t xml:space="preserve">fact:AMZN:58#201.302</ns0:t>
  </ns0:si>
  <ns0:si>
    <ns0:t xml:space="preserve">F061, F062</ns0:t>
  </ns0:si>
  <ns0:si>
    <ns0:t xml:space="preserve">New delayed draw term loan</ns0:t>
  </ns0:si>
  <ns0:si>
    <ns0:t xml:space="preserve">value: “In June 2026, we entered into a $ 17.5 billion unsecured delayed draw term loan with a syndicate of lenders (“Term Loan”), which matures three years from the date of borrowing and bears interest at the SOFR specified in the Term Loan plus a margin ranging from 0.625 % to 0.875 % based on our credit ratings.”</ns0:t>
  </ns0:si>
  <ns0:si>
    <ns0:t xml:space="preserve">AI's comment (not checked): Adds a committed but undrawn funding source for capital spending that is not yet reflected in the commitments table totals.</ns0:t>
  </ns0:si>
  <ns0:si>
    <ns0:t xml:space="preserve">fact:AMZN:57#200</ns0:t>
  </ns0:si>
  <ns0:si>
    <ns0:t xml:space="preserve">Globalstar acquisition agreement</ns0:t>
  </ns0:si>
  <ns0:si>
    <ns0:t xml:space="preserve">value: “On April 13, 2026, Amazon entered into a definitive merger agreement to acquire Globalstar, Inc. (“Globalstar”), a Delaware corporation, for a mix of cash and stock consideration.”
value: “As of the date of the merger agreement, the acquisition implied a value for Globalstar of approximately $ 10.9 billion, including its debt.”</ns0:t>
  </ns0:si>
  <ns0:si>
    <ns0:t xml:space="preserve">AI's comment (not checked): A pending cash-and-stock acquisition that is a claim on liquidity and is not reflected in the commitments table totals.</ns0:t>
  </ns0:si>
  <ns0:si>
    <ns0:t xml:space="preserve">fact:AMZN:95#300</ns0:t>
  </ns0:si>
  <ns0:si>
    <ns0:t xml:space="preserve">F011</ns0:t>
  </ns0:si>
  <ns0:si>
    <ns0:t xml:space="preserve">Debt increase for financing</ns0:t>
  </ns0:si>
  <ns0:si>
    <ns0:t xml:space="preserve">value: “Long-term debt | 65,648 | 128,894”
value: “Proceeds from long-term debt | — | 13,557 | 746 | 66,998 | 746 | 81,925”</ns0:t>
  </ns0:si>
  <ns0:si>
    <ns0:t xml:space="preserve">AI's comment (not checked): Long-term debt increased, with significant proceeds in 2026, likely funding AI infrastructure investments.</ns0:t>
  </ns0:si>
  <ns0:si>
    <ns0:t xml:space="preserve">fact:AMZN:47#189.289.293</ns0:t>
  </ns0:si>
  <ns0:si>
    <ns0:t xml:space="preserve">F034, F040</ns0:t>
  </ns0:si>
  <ns0:si>
    <ns0:t xml:space="preserve">New AI investments and cloud credits</ns0:t>
  </ns0:si>
  <ns0:si>
    <ns0:t xml:space="preserve">value: “Announced an investment of $1 billion to create AWS Forward Deployed Engineering, a team of AI engineers embedded directly with customers to co-develop and deploy agentic AI solutions in days rather than months.”
value: “Announced general availability of AWS Secret Cloud for Industry, giving defense contractors a faster, more secure path to classified innovation, with Northrop Grumman first to run classified workloads on the platform, and committed up to $1 billion in cloud credits to accelerate U.S. Intelligence Community cloud migrat…”</ns0:t>
  </ns0:si>
  <ns0:si>
    <ns0:t xml:space="preserve">AI's comment (not checked): New investments and credits expand AI and cloud services, affecting future AWS revenue and infrastructure spending.</ns0:t>
  </ns0:si>
  <ns0:si>
    <ns0:t xml:space="preserve">fact:AMZN:49#191.292</ns0:t>
  </ns0:si>
  <ns0:si>
    <ns0:t xml:space="preserve">Long-term debt increase</ns0:t>
  </ns0:si>
  <ns0:si>
    <ns0:t xml:space="preserve">value: “Long-term debt | 65,648 | 128,894”
column: “December 31, 2025 | June 30, 2026”</ns0:t>
  </ns0:si>
  <ns0:si>
    <ns0:t xml:space="preserve">AI's comment (not checked): Long-term debt increased between the balance sheet dates, indicating additional financing that may support AI infrastructure.</ns0:t>
  </ns0:si>
  <ns0:si>
    <ns0:t xml:space="preserve">fact:AMZN:48#190</ns0:t>
  </ns0:si>
  <ns0:si>
    <ns0:t xml:space="preserve">F034</ns0:t>
  </ns0:si>
  <ns0:si>
    <ns0:t xml:space="preserve">Cloud credits commitment to U.S. Intelligence Community</ns0:t>
  </ns0:si>
  <ns0:si>
    <ns0:t xml:space="preserve">value: “Announced general availability of AWS Secret Cloud for Industry, giving defense contractors a faster, more secure path to classified innovation, with Northrop Grumman first to run classified workloads on the platform, and committed up to $1 billion in cloud credits to accelerate U.S. Intelligence Community cloud migrat…”</ns0:t>
  </ns0:si>
  <ns0:si>
    <ns0:t xml:space="preserve">AI's comment (not checked): This is a new customer commitment that bears on AWS demand and cloud infrastructure financing.</ns0:t>
  </ns0:si>
  <ns0:si>
    <ns0:t xml:space="preserve">fact:AMZN:50#192</ns0:t>
  </ns0:si>
  <ns0:si>
    <ns0:t xml:space="preserve">F056</ns0:t>
  </ns0:si>
  <ns0:si>
    <ns0:t xml:space="preserve">Remaining performance obligations (RPO) of $103.7bn with recognition timing</ns0:t>
  </ns0:si>
  <ns0:si>
    <ns0:t xml:space="preserve">value: “As of June 30, 2026, the Company had $ 103.7 billion of unsatisfied RPO, of which 41 % was expected to be recognized over the initial 24 months ending June 30, 2028, 39 % between months 25 and 48, and the remaining balance recognized between months 49 and 78.”
context: “RPO includes both billed and unbilled consideration from the Company's committed contracts.”</ns0:t>
  </ns0:si>
  <ns0:si>
    <ns0:t xml:space="preserve">3 runs: first 2026-09-26, last 2026-09-28</ns0:t>
  </ns0:si>
  <ns0:si>
    <ns0:t xml:space="preserve">AI's comment (not checked): The committed-contract backlog backing CoreWeave's take-or-pay revenue share is disclosed with the share expected to be recognised over the initial 24 months.</ns0:t>
  </ns0:si>
  <ns0:si>
    <ns0:t xml:space="preserve">fact:CRWV:1#111.232.332</ns0:t>
  </ns0:si>
  <ns0:si>
    <ns0:t xml:space="preserve">Customer concentration in the quarter</ns0:t>
  </ns0:si>
  <ns0:si>
    <ns0:t xml:space="preserve">value: “Customer A | 36 % | 71 % | 40 % | 72 %”
value: “Customer B | 26 % | * | 23 % | *”</ns0:t>
  </ns0:si>
  <ns0:si>
    <ns0:t xml:space="preserve">AI's comment (not checked): [the AI's comment was removed: it used figures not in the fragments (32, 2)]</ns0:t>
  </ns0:si>
  <ns0:si>
    <ns0:t xml:space="preserve">fact:CRWV:3#113.233.333</ns0:t>
  </ns0:si>
  <ns0:si>
    <ns0:t xml:space="preserve">F135</ns0:t>
  </ns0:si>
  <ns0:si>
    <ns0:t xml:space="preserve">Joint venture funding commitments and guarantees</ns0:t>
  </ns0:si>
  <ns0:si>
    <ns0:t xml:space="preserve">value: “During the six months ended June 30, 2026, the Company committed to invest up to $ 1.7 billion, which includes incremental funding commitments of approximately $ 500 million during the three months ended June 30, 2026, to acquire equity interests in two separate joint ventures that each hold a data center development p…”
value: “The Company's maximum exposure to loss related to these joint ventures is limited to its total funding commitments of $ 1.7 billion as of June 30, 2026.”</ns0:t>
  </ns0:si>
  <ns0:si>
    <ns0:t xml:space="preserve">AI's comment (not checked): Off-balance-sheet data-center development exposure includes committed funding and a guarantee that could require further cash beyond reported construction in progress.</ns0:t>
  </ns0:si>
  <ns0:si>
    <ns0:t xml:space="preserve">fact:CRWV:4#114.115.235.334.336</ns0:t>
  </ns0:si>
  <ns0:si>
    <ns0:t xml:space="preserve">F150</ns0:t>
  </ns0:si>
  <ns0:si>
    <ns0:t xml:space="preserve">Deferred revenue (contract liability) balance</ns0:t>
  </ns0:si>
  <ns0:si>
    <ns0:t xml:space="preserve">value: “Deferred revenue, including current and non-current balances as of June 30, 2026 and December 31, 2025, was $ 9.7 billion and $ 8.2 billion, respectively.”</ns0:t>
  </ns0:si>
  <ns0:si>
    <ns0:t xml:space="preserve">Who holds the exposure? · Test 6</ns0:t>
  </ns0:si>
  <ns0:si>
    <ns0:t xml:space="preserve">AI's comment (not checked): [the AI's comment was removed: it used figures not in the fragments (150)]</ns0:t>
  </ns0:si>
  <ns0:si>
    <ns0:t xml:space="preserve">fact:CRWV:2#112</ns0:t>
  </ns0:si>
  <ns0:si>
    <ns0:t xml:space="preserve">F056, F152</ns0:t>
  </ns0:si>
  <ns0:si>
    <ns0:t xml:space="preserve">New customer commitment (Jane Street)</ns0:t>
  </ns0:si>
  <ns0:si>
    <ns0:t xml:space="preserve">value: “For example, in April 2026, we announced that Jane Street, a private company, had committed approximately $6.0 billion to use our AI cloud platform.”</ns0:t>
  </ns0:si>
  <ns0:si>
    <ns0:t xml:space="preserve">AI's comment (not checked): A large new private-company commitment adds contracted demand but also counterparty credit risk to be funded with more infrastructure.</ns0:t>
  </ns0:si>
  <ns0:si>
    <ns0:t xml:space="preserve">fact:CRWV:77#234</ns0:t>
  </ns0:si>
  <ns0:si>
    <ns0:t xml:space="preserve">F141, F150</ns0:t>
  </ns0:si>
  <ns0:si>
    <ns0:t xml:space="preserve">Capital expenditure run-rate</ns0:t>
  </ns0:si>
  <ns0:si>
    <ns0:t xml:space="preserve">value: “During the six months ended June 30, 2026 and 2025, cash paid for property and equipment was $14.1 billion and $3.9 billion, respectively.”
value: “Net cash provided by operating activities was $3.7 billion for the six months ended June 30, 2026, as compared to net cash used in operating activities of $190 million for the six months ended June 30, 2025.”</ns0:t>
  </ns0:si>
  <ns0:si>
    <ns0:t xml:space="preserve">AI's comment (not checked): Cash capital spending far exceeds operating cash flow, so the fleet is funded by continued debt and equity issuance.
Repeats the paper's 14.1 (F049); the rest is new</ns0:t>
  </ns0:si>
  <ns0:si>
    <ns0:t xml:space="preserve">fact:CRWV:78#236</ns0:t>
  </ns0:si>
  <ns0:si>
    <ns0:t xml:space="preserve">Large customer contract commitments signed in 2026</ns0:t>
  </ns0:si>
  <ns0:si>
    <ns0:t xml:space="preserve">value: “Similarly, in March 2026, we entered into an order form under an existing master services agreement pursuant to which Meta Platforms, Inc. (“Meta”) initially committed to pay us up to approximately $21.0 billion (inclusive of access to new computing capacity through December 20, 2032 and the exercise of an existing opt…”
value: “In May 2025, we entered into a master services agreement with OpenAI OpCo, LLC ("OpenAI") and in September 2025, we entered into an order form under this master services agreement pursuant to which OpenAI committed to pay us up to approximately $6.5 billion through May 31, 2031”</ns0:t>
  </ns0:si>
  <ns0:si>
    <ns0:t xml:space="preserve">AI's comment (not checked): Named customer commitments underpin the committed-contract revenue share and the customer-concentration profile.</ns0:t>
  </ns0:si>
  <ns0:si>
    <ns0:t xml:space="preserve">fact:CRWV:99#335</ns0:t>
  </ns0:si>
  <ns0:si>
    <ns0:t xml:space="preserve">Digital Realty</ns0:t>
  </ns0:si>
  <ns0:si>
    <ns0:t xml:space="preserve">Construction commitments and expected capex</ns0:t>
  </ns0:si>
  <ns0:si>
    <ns0:t xml:space="preserve">value: “At June 30, 2026, we had open commitments, including amounts reimbursable by customers of approximately $ 320.1 million, related to construction contracts of approximately $ 4.1 billion.”
value: “For the remainder of 2026, we currently expect to incur approximately $2.8 billion to $3.3 billion of capital expenditures, which includes our share of joint venture contributions and is net of partner contributions for our development programs.”</ns0:t>
  </ns0:si>
  <ns0:si>
    <ns0:t xml:space="preserve">AI's comment (not checked): Discloses remaining construction commitments and expected capex, indicating funding needs.</ns0:t>
  </ns0:si>
  <ns0:si>
    <ns0:t xml:space="preserve">fact:DLR:82#242.344</ns0:t>
  </ns0:si>
  <ns0:si>
    <ns0:t xml:space="preserve">Development pipeline and pre-leasing</ns0:t>
  </ns0:si>
  <ns0:si>
    <ns0:t xml:space="preserve">value: “As of June 30, 2026, we had 1,402 megawatts of projects underway across multiple metropolitan areas around the world, representing an approximately 82% increase of capacity under development as compared to December 31, 2025.”
value: “As of June 30, 2026, 54% of the 1,402 megawatts of projects underway was pre-leased.”</ns0:t>
  </ns0:si>
  <ns0:si>
    <ns0:t xml:space="preserve">AI's comment (not checked): Shows scale of construction pipeline and pre-leasing.</ns0:t>
  </ns0:si>
  <ns0:si>
    <ns0:t xml:space="preserve">fact:DLR:83#243.345</ns0:t>
  </ns0:si>
  <ns0:si>
    <ns0:t xml:space="preserve">June 2026 acquisition and assumed construction debt</ns0:t>
  </ns0:si>
  <ns0:si>
    <ns0:t xml:space="preserve">value: “On June 30, 2026, the Company completed the acquisition of 64 % blended partnership interests in the Digital Carver Dulles 9 JV, LLC and Digital Carver Brickyard JV, LLC joint ventures (collectively, the “joint ventures”) (the “June 2026 Acquisition”).”
value: “As part of the June 2026 Acquisition, we assumed a construction loan in the amount of $ 726 million.”</ns0:t>
  </ns0:si>
  <ns0:si>
    <ns0:t xml:space="preserve">AI's comment (not checked): Adds developed joint-venture assets and assumed construction debt.</ns0:t>
  </ns0:si>
  <ns0:si>
    <ns0:t xml:space="preserve">fact:DLR:84#244.343</ns0:t>
  </ns0:si>
  <ns0:si>
    <ns0:t xml:space="preserve">Customer concentration</ns0:t>
  </ns0:si>
  <ns0:si>
    <ns0:t xml:space="preserve">value: “As of June 30, 2026, our two largest customers accounted for approximately 11 % and 10 %, respectively, of our total revenue. No other individual customer makes up more than 10 % of our total revenue.”</ns0:t>
  </ns0:si>
  <ns0:si>
    <ns0:t xml:space="preserve">AI's comment (not checked): Highlights customer concentration risk.</ns0:t>
  </ns0:si>
  <ns0:si>
    <ns0:t xml:space="preserve">fact:DLR:85#245.346</ns0:t>
  </ns0:si>
  <ns0:si>
    <ns0:t xml:space="preserve">New ATM equity funding capacity</ns0:t>
  </ns0:si>
  <ns0:si>
    <ns0:t xml:space="preserve">value: “On May 4, 2026, our Parent and our Operating Partnership entered into a new ATM Equity Offering SM Sales Agreement (the “2026 Sales Agreement”), pursuant to which, Digital Realty Trust, Inc. can issue and sell common stock having an aggregate offering price of up to $ 7.5 billion through various named agents from time …”
value: “As of June 30, 2026, $ 6.3 billion remains available for future sales under the 2026 Sales Agreement.”</ns0:t>
  </ns0:si>
  <ns0:si>
    <ns0:t xml:space="preserve">AI's comment (not checked): New equity shelf increases funding capacity for development and AI infrastructure.</ns0:t>
  </ns0:si>
  <ns0:si>
    <ns0:t xml:space="preserve">fact:DLR:100#342</ns0:t>
  </ns0:si>
  <ns0:si>
    <ns0:t xml:space="preserve">ATM equity funding</ns0:t>
  </ns0:si>
  <ns0:si>
    <ns0:t xml:space="preserve">value: “During the six months ended June 30, 2026, Digital Realty Trust, Inc. generated net proceeds of approximately $2.5 billion under its ATM Equity Offering SM program from the issuance of approximately 13.5 million common shares at an average price of $184.94 per share after payment of approximately $12.6 million of commi…”</ns0:t>
  </ns0:si>
  <ns0:si>
    <ns0:t xml:space="preserve">AI's comment (not checked): Shows equity funding capacity for development and construction.</ns0:t>
  </ns0:si>
  <ns0:si>
    <ns0:t xml:space="preserve">fact:DLR:86#246</ns0:t>
  </ns0:si>
  <ns0:si>
    <ns0:t xml:space="preserve">F060, F132</ns0:t>
  </ns0:si>
  <ns0:si>
    <ns0:t xml:space="preserve">July 2026 additional data center leases</ns0:t>
  </ns0:si>
  <ns0:si>
    <ns0:t xml:space="preserve">value: “In July 2026, we entered into additional data center leases with lease obligations of approximately $ 68 billion, which are expected to commence in 2027 and 2028, with lease terms of 18 to 20 years.”</ns0:t>
  </ns0:si>
  <ns0:si>
    <ns0:t xml:space="preserve">AI's comment (not checked): Post-balance-sheet leases add further off-balance-sheet AI data center obligations on top of the leases not yet commenced.</ns0:t>
  </ns0:si>
  <ns0:si>
    <ns0:t xml:space="preserve">fact:META:68#212.312</ns0:t>
  </ns0:si>
  <ns0:si>
    <ns0:t xml:space="preserve">Residual value guarantees and maximum exposure on Louisiana venture</ns0:t>
  </ns0:si>
  <ns0:si>
    <ns0:t xml:space="preserve">value: “In addition, we have provided residual value guarantees (RVG) with an aggregate threshold of approximately $ 28 billion that decreases over time.”
value: “our maximum exposure to loss related to the Venture was $ 46.03 billion and $ 45.95 billion, respectively, consisting of the carrying value of our equity investment, the lease commitments, our estimated future funding commitments, and the maximum RVG threshold”</ns0:t>
  </ns0:si>
  <ns0:si>
    <ns0:t xml:space="preserve">AI's comment (not checked): [the AI's comment was removed: it used figures not in the fragments (20)]</ns0:t>
  </ns0:si>
  <ns0:si>
    <ns0:t xml:space="preserve">fact:META:69#213.314</ns0:t>
  </ns0:si>
  <ns0:si>
    <ns0:t xml:space="preserve">El Paso data center venture (subsequent event)</ns0:t>
  </ns0:si>
  <ns0:si>
    <ns0:t xml:space="preserve">value: “In July 2026, we entered into an exclusivity agreement to co-develop a data center campus in El Paso, Texas, through a venture in which we would hold a 20 % membership interest.”
value: “We will also provide residual value guarantees with a maximum aggregate exposure of approximately $ 13 billion.”</ns0:t>
  </ns0:si>
  <ns0:si>
    <ns0:t xml:space="preserve">AI's comment (not checked): A second minority-interest data center venture with residual value guarantees repeats the Louisiana financing structure.
Repeats the paper's 20% (F046); the rest is new</ns0:t>
  </ns0:si>
  <ns0:si>
    <ns0:t xml:space="preserve">fact:META:70#214.316</ns0:t>
  </ns0:si>
  <ns0:si>
    <ns0:t xml:space="preserve">Non-cancelable contractual commitments and cloud capacity</ns0:t>
  </ns0:si>
  <ns0:si>
    <ns0:t xml:space="preserve">value: “As of June 30, 2026, we had $ 349.31 billion of non-cancelable contractual commitments, comprising both short-term and long-term arrangements.”
value: “In addition, as of June 30, 2026, we have contingent obligations to purchase up to $ 14.72 billion of cloud capacity over a five-year period, which may be reduced if the cloud service provider is able to sell such capacity to other customers.”</ns0:t>
  </ns0:si>
  <ns0:si>
    <ns0:t xml:space="preserve">AI's comment (not checked): Quantifies committed third-party cloud and infrastructure spend that underpins Meta's AI build-out.</ns0:t>
  </ns0:si>
  <ns0:si>
    <ns0:t xml:space="preserve">fact:META:71#215.313</ns0:t>
  </ns0:si>
  <ns0:si>
    <ns0:t xml:space="preserve">F132</ns0:t>
  </ns0:si>
  <ns0:si>
    <ns0:t xml:space="preserve">May 2026 notes issuance and 2026 capital expenditure guidance</ns0:t>
  </ns0:si>
  <ns0:si>
    <ns0:t xml:space="preserve">value: “In May 2026, we issued an aggregate of $ 25.00 billion of fixed-rate senior unsecured notes in six series.”
value: “We anticipate making capital expenditures of approximately $ 130 billion to $ 145 billion in 2026 to support our AI efforts and core business.”</ns0:t>
  </ns0:si>
  <ns0:si>
    <ns0:t xml:space="preserve">AI's comment (not checked): Debt funding and guided capex size the financing need behind Meta's AI infrastructure program.</ns0:t>
  </ns0:si>
  <ns0:si>
    <ns0:t xml:space="preserve">fact:META:72#216.218.315.318</ns0:t>
  </ns0:si>
  <ns0:si>
    <ns0:t xml:space="preserve">F045</ns0:t>
  </ns0:si>
  <ns0:si>
    <ns0:t xml:space="preserve">BlackRock data center venture</ns0:t>
  </ns0:si>
  <ns0:si>
    <ns0:t xml:space="preserve">value: “Yesterday, as part of our Meta Compute effort, we announced a new strategic venture with BlackRock to develop a new 1GW data center in El Paso, Texas.”</ns0:t>
  </ns0:si>
  <ns0:si>
    <ns0:t xml:space="preserve">AI's comment (not checked): New partnership structure adds external capital to AI data-center buildout.</ns0:t>
  </ns0:si>
  <ns0:si>
    <ns0:t xml:space="preserve">fact:META:73#217.317</ns0:t>
  </ns0:si>
  <ns0:si>
    <ns0:t xml:space="preserve">cash and debt</ns0:t>
  </ns0:si>
  <ns0:si>
    <ns0:t xml:space="preserve">value: “We ended the quarter with $90.3 billion in cash and marketable securities and $83.7 billion in debt.”</ns0:t>
  </ns0:si>
  <ns0:si>
    <ns0:t xml:space="preserve">AI's comment (not checked): Balance sheet capacity and debt mix support infrastructure funding.</ns0:t>
  </ns0:si>
  <ns0:si>
    <ns0:t xml:space="preserve">fact:META:75#220.320</ns0:t>
  </ns0:si>
  <ns0:si>
    <ns0:t xml:space="preserve">Q2 capital expenditures</ns0:t>
  </ns0:si>
  <ns0:si>
    <ns0:t xml:space="preserve">value: “Capital expenditures, including principal payments on finance leases, were $31.1 billion, driven by investments in servers, data centers, and network infrastructure.”</ns0:t>
  </ns0:si>
  <ns0:si>
    <ns0:t xml:space="preserve">AI's comment (not checked): Quarterly capex reflects ongoing AI infrastructure spend.</ns0:t>
  </ns0:si>
  <ns0:si>
    <ns0:t xml:space="preserve">fact:META:74#219.319</ns0:t>
  </ns0:si>
  <ns0:si>
    <ns0:t xml:space="preserve">Q2 expense charges</ns0:t>
  </ns0:si>
  <ns0:si>
    <ns0:t xml:space="preserve">value: “Q2 total expenses were $42 billion, up 55% compared to last year, and included $2.4 billion in charges related to legal proceedings and $1.2 billion in severance expenses in connection with the May 2026 headcount reduction.”</ns0:t>
  </ns0:si>
  <ns0:si>
    <ns0:t xml:space="preserve">AI's comment (not checked): $2.4 billion legal charges and $1.2 billion severance contributed to Q2 expenses of $42 billion.</ns0:t>
  </ns0:si>
  <ns0:si>
    <ns0:t xml:space="preserve">fact:META:76#221</ns0:t>
  </ns0:si>
  <ns0:si>
    <ns0:t xml:space="preserve">F058</ns0:t>
  </ns0:si>
  <ns0:si>
    <ns0:t xml:space="preserve">Microsoft</ns0:t>
  </ns0:si>
  <ns0:si>
    <ns0:t xml:space="preserve">Datacenter construction commitments</ns0:t>
  </ns0:si>
  <ns0:si>
    <ns0:t xml:space="preserve">value: “Construction commitments (b) 29,848 4,718 34,566”
units: “(In millions)”</ns0:t>
  </ns0:si>
  <ns0:si>
    <ns0:t xml:space="preserve">AI's comment (not checked): Adds committed construction spend for new buildings and datacenters.</ns0:t>
  </ns0:si>
  <ns0:si>
    <ns0:t xml:space="preserve">fact:MSFT:41#180.281</ns0:t>
  </ns0:si>
  <ns0:si>
    <ns0:t xml:space="preserve">F099</ns0:t>
  </ns0:si>
  <ns0:si>
    <ns0:t xml:space="preserve">OpenAI funding commitments and ownership</ns0:t>
  </ns0:si>
  <ns0:si>
    <ns0:t xml:space="preserve">value: “We have made total funding commitments of $ 13.0 billion related to our investment, of which $ 11.9 billion has been funded as of June 30, 2026.”
context: “We have an investment accounted for under the equity method that represents an approximate 25 % interest on an as-converted basis.”</ns0:t>
  </ns0:si>
  <ns0:si>
    <ns0:t xml:space="preserve">Circular Financing</ns0:t>
  </ns0:si>
  <ns0:si>
    <ns0:t xml:space="preserve">AI's comment (not checked): Shows additional capital committed to and related-party ownership in OpenAI.</ns0:t>
  </ns0:si>
  <ns0:si>
    <ns0:t xml:space="preserve">fact:MSFT:42#181.282</ns0:t>
  </ns0:si>
  <ns0:si>
    <ns0:t xml:space="preserve">F058, F077</ns0:t>
  </ns0:si>
  <ns0:si>
    <ns0:t xml:space="preserve">Prepayments and restricted investments for server components</ns0:t>
  </ns0:si>
  <ns0:si>
    <ns0:t xml:space="preserve">value: “As of June 30, 2026 and 2025, the current portion of other receivables related to activities to facilitate the purchase of server components was $ 27.8 billion and $ 8.2 billion, respectively, and are included in other current assets in our consolidated balance sheets.”
value: “Additionally, as of June 30, 2026, restricted investments pursuant to a supplier agreement were $ 11.3 billion, with $ 3.8 billion included in short-term investments and $ 7.5 billion included in equity and other investments in our consolidated balance sheet.”</ns0:t>
  </ns0:si>
  <ns0:si>
    <ns0:t xml:space="preserve">AI's comment (not checked): These prepayments and restricted investments fund the server supply chain that supports AI datacenter capacity.</ns0:t>
  </ns0:si>
  <ns0:si>
    <ns0:t xml:space="preserve">fact:MSFT:43#182</ns0:t>
  </ns0:si>
  <ns0:si>
    <ns0:t xml:space="preserve">Datacenter purchase commitments</ns0:t>
  </ns0:si>
  <ns0:si>
    <ns0:t xml:space="preserve">value: “Purchase commitments (d) 169,008 25,052 194,060”
context: “(d) Purchase commitments primarily relate to datacenters and include open purchase orders and take-or-pay contracts that are not presented as construction commitments above.”</ns0:t>
  </ns0:si>
  <ns0:si>
    <ns0:t xml:space="preserve">AI's comment (not checked): Shows large off-balance-sheet AI infrastructure commitments beyond leases.</ns0:t>
  </ns0:si>
  <ns0:si>
    <ns0:t xml:space="preserve">fact:MSFT:90#280</ns0:t>
  </ns0:si>
  <ns0:si>
    <ns0:t xml:space="preserve">Finance lease obligations and new finance lease assets</ns0:t>
  </ns0:si>
  <ns0:si>
    <ns0:t xml:space="preserve">value: “Total finance lease liabilities $ 66,594 $ 46,172”
value: “Finance leases 24,608 20,511 11,633”</ns0:t>
  </ns0:si>
  <ns0:si>
    <ns0:t xml:space="preserve">AI's comment (not checked): Shows scale of finance lease financing for datacenters and equipment.
Repeats the paper's 24,608 (F047); the rest is new</ns0:t>
  </ns0:si>
  <ns0:si>
    <ns0:t xml:space="preserve">fact:MSFT:44#183.283</ns0:t>
  </ns0:si>
  <ns0:si>
    <ns0:t xml:space="preserve">F031</ns0:t>
  </ns0:si>
  <ns0:si>
    <ns0:t xml:space="preserve">Commercial remaining performance obligation backlog</ns0:t>
  </ns0:si>
  <ns0:si>
    <ns0:t xml:space="preserve">value: “Microsoft Cloud revenue was $59.3 billion and increased 27%, and commercial remaining performance obligation increased 84% to $678 billion.”</ns0:t>
  </ns0:si>
  <ns0:si>
    <ns0:t xml:space="preserve">AI's comment (not checked): Shows the contracted future cloud and AI revenue backlog, relevant to assessing durability of AI-related revenue.
Repeats the paper's 84% (F089), 678 (F087); the rest is new</ns0:t>
  </ns0:si>
  <ns0:si>
    <ns0:t xml:space="preserve">fact:MSFT:35#174.187.188.276.287</ns0:t>
  </ns0:si>
  <ns0:si>
    <ns0:t xml:space="preserve">Azure revenue milestone</ns0:t>
  </ns0:si>
  <ns0:si>
    <ns0:t xml:space="preserve">value: “This year, Azure revenue surpassed $100 billion for the first time, and Microsoft 365 Copilot reached over 30 million paid seats, reflecting the confidence customers are placing in us to power their AI transformation.”</ns0:t>
  </ns0:si>
  <ns0:si>
    <ns0:t xml:space="preserve">AI's comment (not checked): Azure revenue scale and Copilot seat adoption are new AI demand metrics not in the paper and support AI infrastructure financing.</ns0:t>
  </ns0:si>
  <ns0:si>
    <ns0:t xml:space="preserve">fact:MSFT:36#175</ns0:t>
  </ns0:si>
  <ns0:si>
    <ns0:t xml:space="preserve">AI infrastructure capital expenditure</ns0:t>
  </ns0:si>
  <ns0:si>
    <ns0:t xml:space="preserve">value: “Additions to property and equipment (35,802) (17,079) (115,948) (64,551)”</ns0:t>
  </ns0:si>
  <ns0:si>
    <ns0:t xml:space="preserve">AI's comment (not checked): Large and rising property and equipment additions indicate heavy AI infrastructure investment.
Repeats the paper's 115,948 (F048); the rest is new</ns0:t>
  </ns0:si>
  <ns0:si>
    <ns0:t xml:space="preserve">fact:MSFT:37#176.277.285</ns0:t>
  </ns0:si>
  <ns0:si>
    <ns0:t xml:space="preserve">Operating lease assets and liabilities</ns0:t>
  </ns0:si>
  <ns0:si>
    <ns0:t xml:space="preserve">value: “Operating lease right-of-use assets 24,177 24,823”
value: “Operating lease liabilities 16,532 17,437”</ns0:t>
  </ns0:si>
  <ns0:si>
    <ns0:t xml:space="preserve">AI's comment (not checked): Operating lease balances indicate leased data-center or infrastructure capacity relevant to AI financing.</ns0:t>
  </ns0:si>
  <ns0:si>
    <ns0:t xml:space="preserve">fact:MSFT:38#177.184.284</ns0:t>
  </ns0:si>
  <ns0:si>
    <ns0:t xml:space="preserve">OpenAI investment impact</ns0:t>
  </ns0:si>
  <ns0:si>
    <ns0:t xml:space="preserve">value: “In fiscal year 2026, net income and diluted earnings per share were impacted by net gains from investments in OpenAI, which resulted in an increase in net income and diluted earnings per share of $480 million and $0.07, respectively, in the fourth quarter, and $4,963 million and $0.67, respectively, for the full fiscal…”</ns0:t>
  </ns0:si>
  <ns0:si>
    <ns0:t xml:space="preserve">AI's comment (not checked): Shows AI-related investment gains that adjust GAAP results and can complicate comparability with AI run-rate metrics.</ns0:t>
  </ns0:si>
  <ns0:si>
    <ns0:t xml:space="preserve">fact:MSFT:39#178.279</ns0:t>
  </ns0:si>
  <ns0:si>
    <ns0:t xml:space="preserve">Anthropic investment gain</ns0:t>
  </ns0:si>
  <ns0:si>
    <ns0:t xml:space="preserve">value: “These include a $3.2 billion gain from our investment in Anthropic and lower-than-expected expenses related to the Voluntary Retirement Program which were partially offset by severance expense and impairment charges in XBOX.”</ns0:t>
  </ns0:si>
  <ns0:si>
    <ns0:t xml:space="preserve">AI's comment (not checked): Highlights non-operating AI investment gains that affect earnings comparability.</ns0:t>
  </ns0:si>
  <ns0:si>
    <ns0:t xml:space="preserve">fact:MSFT:89#278</ns0:t>
  </ns0:si>
  <ns0:si>
    <ns0:t xml:space="preserve">F087</ns0:t>
  </ns0:si>
  <ns0:si>
    <ns0:t xml:space="preserve">Capex and finance leases</ns0:t>
  </ns0:si>
  <ns0:si>
    <ns0:t xml:space="preserve">value: “Capital expenditures were $41 billion including the impact from higher component pricing as noted in our guide.”
value: “Roughly two thirds of our capex was for short-lived assets, primarily CPUs and GPUs as customers increasingly build solutions that leverage both AI and non-AI infrastructure.”</ns0:t>
  </ns0:si>
  <ns0:si>
    <ns0:t xml:space="preserve">The revenue</ns0:t>
  </ns0:si>
  <ns0:si>
    <ns0:t xml:space="preserve">AI's comment (not checked): Shows AI infrastructure spending mix and finance-lease obligations.</ns0:t>
  </ns0:si>
  <ns0:si>
    <ns0:t xml:space="preserve">fact:MSFT:45#185</ns0:t>
  </ns0:si>
  <ns0:si>
    <ns0:t xml:space="preserve">F031, F086</ns0:t>
  </ns0:si>
  <ns0:si>
    <ns0:t xml:space="preserve">AI datacenter capacity expansion</ns0:t>
  </ns0:si>
  <ns0:si>
    <ns0:t xml:space="preserve">value: “We added 31 new datacenters across 5 continents this quarter, bringing the total to 88 this year, as we expand our footprint in response to accelerating demand.”
value: “Over the last fiscal year, we have reduced dock-to-live times for new GPUs in our largest regions by nearly 50%.”</ns0:t>
  </ns0:si>
  <ns0:si>
    <ns0:t xml:space="preserve">AI's comment (not checked): Quantifies the pace of datacenter and GPU capacity additions, relevant to the scale and timing of AI infrastructure investment.</ns0:t>
  </ns0:si>
  <ns0:si>
    <ns0:t xml:space="preserve">fact:MSFT:92#288</ns0:t>
  </ns0:si>
  <ns0:si>
    <ns0:t xml:space="preserve">FY27 and Q1 CapEx guidance</ns0:t>
  </ns0:si>
  <ns0:si>
    <ns0:t xml:space="preserve">value: “And we expect FY27 capital expenditures will grow year-over-year given demand signals across our portfolio.”
value: “We expect CapEx spend will be over $50 billion including the lease reclassification impact from the useful life update.”</ns0:t>
  </ns0:si>
  <ns0:si>
    <ns0:t xml:space="preserve">AI's comment (not checked): Signals continued large AI infrastructure investment.</ns0:t>
  </ns0:si>
  <ns0:si>
    <ns0:t xml:space="preserve">fact:MSFT:46#186</ns0:t>
  </ns0:si>
  <ns0:si>
    <ns0:t xml:space="preserve">RPO duration and remaining recognition</ns0:t>
  </ns0:si>
  <ns0:si>
    <ns0:t xml:space="preserve">value: “RPO, including OpenAI, has a weighted average duration of 2.3 years.”
value: “And roughly 30% will be recognized in revenue in the next 12 months, up 37% year-over-year.”</ns0:t>
  </ns0:si>
  <ns0:si>
    <ns0:t xml:space="preserve">AI's comment (not checked): Shows the long-duration and back-ended recognition profile of commercial RPO and that sequential growth came outside frontier model companies.
Repeats the paper's 30% (F087); the rest is new</ns0:t>
  </ns0:si>
  <ns0:si>
    <ns0:t xml:space="preserve">fact:MSFT:91#286</ns0:t>
  </ns0:si>
  <ns0:si>
    <ns0:t xml:space="preserve">F135, F150, F152</ns0:t>
  </ns0:si>
  <ns0:si>
    <ns0:t xml:space="preserve">Nebius</ns0:t>
  </ns0:si>
  <ns0:si>
    <ns0:t xml:space="preserve">Remaining performance obligations</ns0:t>
  </ns0:si>
  <ns0:si>
    <ns0:t xml:space="preserve">value: “As of June 30, 2026, the amount of unsatisfied RPO was $37,490.6, of which 36% is expected to be recognized as revenue during the 24 months ending June 30, 2028, 40% between months 25 and 48, and the remainder recognized thereafter.”
context: “Remaining performance obligations ("RPO") represent the transaction price allocated to performance obligations that are unsatisfied or partially unsatisfied as of the end of the reporting period.”</ns0:t>
  </ns0:si>
  <ns0:si>
    <ns0:t xml:space="preserve">AI's comment (not checked): Large contracted backlog supports AI infrastructure buildout and financing.</ns0:t>
  </ns0:si>
  <ns0:si>
    <ns0:t xml:space="preserve">fact:NBIS:12#128.237.337</ns0:t>
  </ns0:si>
  <ns0:si>
    <ns0:t xml:space="preserve">value: “Customer C | * | 24% | * | 26%”
value: “Customer D | * | 21% | * | 21%”</ns0:t>
  </ns0:si>
  <ns0:si>
    <ns0:t xml:space="preserve">AI's comment (not checked): Customer concentration affects revenue predictability and counterparty risk.</ns0:t>
  </ns0:si>
  <ns0:si>
    <ns0:t xml:space="preserve">fact:NBIS:13#129.239.339</ns0:t>
  </ns0:si>
  <ns0:si>
    <ns0:t xml:space="preserve">F154</ns0:t>
  </ns0:si>
  <ns0:si>
    <ns0:t xml:space="preserve">NVIDIA equity investment via pre-funded warrants</ns0:t>
  </ns0:si>
  <ns0:si>
    <ns0:t xml:space="preserve">value: “On March 11, 2026 the Company entered into a securities purchase agreement with NVIDIA to issue Pre-Funded Warrants to purchase 21,065,936 Class A ordinary shares (“Pre-Funded Warrant Shares”) for aggregate gross proceeds of $2,000.0.”</ns0:t>
  </ns0:si>
  <ns0:si>
    <ns0:t xml:space="preserve">AI's comment (not checked): A strategic supplier also supplied equity, adding a non-debt funding channel alongside the convertible notes.</ns0:t>
  </ns0:si>
  <ns0:si>
    <ns0:t xml:space="preserve">fact:NBIS:14#130</ns0:t>
  </ns0:si>
  <ns0:si>
    <ns0:t xml:space="preserve">F135, F152</ns0:t>
  </ns0:si>
  <ns0:si>
    <ns0:t xml:space="preserve">Energy and power commitments</ns0:t>
  </ns0:si>
  <ns0:si>
    <ns0:t xml:space="preserve">value: “As of June 30, 2026, expected future fixed or minimum guaranteed commitments under these agreements amounted to $81.7 in 2026, $541.8 in 2027, $542.0 in 2028, $540.5 in 2029, $535.8 in 2030, and $3,082.3 thereafter.”
context: “The Group has contractual obligations arising from contracts with remaining terms greater than one year, primarily consisting of energy and power supply agreements, related to the co-location arrangements and the development of greenfield data center facilities.”</ns0:t>
  </ns0:si>
  <ns0:si>
    <ns0:t xml:space="preserve">AI's comment (not checked): Long-term power commitments support AI data centers and add fixed obligations.</ns0:t>
  </ns0:si>
  <ns0:si>
    <ns0:t xml:space="preserve">fact:NBIS:16#132.338</ns0:t>
  </ns0:si>
  <ns0:si>
    <ns0:t xml:space="preserve">At-the-market equity funding</ns0:t>
  </ns0:si>
  <ns0:si>
    <ns0:t xml:space="preserve">value: “During the three months ended June 30, 2026, the Company sold 12,729,493 Class A shares under the ATM program at a weighted-average price of $223.60 per share before issuance costs. Net proceeds accounted for $2,811.1 after deducting sales agents' commissions and offering costs.”
value: “As of June 30, 2026, 12,270,507 Class A shares remained available for offer and sale under the ATM program.”</ns0:t>
  </ns0:si>
  <ns0:si>
    <ns0:t xml:space="preserve">AI's comment (not checked): Equity funding supports AI cloud infrastructure expansion.</ns0:t>
  </ns0:si>
  <ns0:si>
    <ns0:t xml:space="preserve">fact:NBIS:15#131.340</ns0:t>
  </ns0:si>
  <ns0:si>
    <ns0:t xml:space="preserve">Customer prepayments / deferred revenue</ns0:t>
  </ns0:si>
  <ns0:si>
    <ns0:t xml:space="preserve">value: “As of December 31, 2025 and June 30, 2026, the balance of deferred revenue, including current and non-current portion, was $1,577.5 and $5,975.2, respectively.”
value: “During the three and six months ended June 30, 2026, total deferred revenue increased by $1,197.1 and $4,397.7, respectively, primarily due to the recognition of prepayments received in advance for future services under customer agreements.”</ns0:t>
  </ns0:si>
  <ns0:si>
    <ns0:t xml:space="preserve">AI's comment (not checked): Customer prepayments are a major source of cash and indicate committed demand for AI cloud capacity.
Repeats the paper's 4,397.7 (F150); the rest is new</ns0:t>
  </ns0:si>
  <ns0:si>
    <ns0:t xml:space="preserve">fact:NBIS:79#238</ns0:t>
  </ns0:si>
  <ns0:si>
    <ns0:t xml:space="preserve">March 2026 convertible notes</ns0:t>
  </ns0:si>
  <ns0:si>
    <ns0:t xml:space="preserve">value: “The net proceeds to the Company from the sale of March 2026 Notes were $4,293.7.”
context: “Convertible notes issued in March 2026”</ns0:t>
  </ns0:si>
  <ns0:si>
    <ns0:t xml:space="preserve">AI's comment (not checked): Large convertible issuance adds debt funding for AI cloud infrastructure.</ns0:t>
  </ns0:si>
  <ns0:si>
    <ns0:t xml:space="preserve">fact:NBIS:80#240.341</ns0:t>
  </ns0:si>
  <ns0:si>
    <ns0:t xml:space="preserve">Senior secured debt facility</ns0:t>
  </ns0:si>
  <ns0:si>
    <ns0:t xml:space="preserve">value: “On July 10, 2026, the Group entered into its first senior secured debt facility in an aggregate principal amount of approximately $775.”
context: “The facility bears interest at SOFR plus 2.50% and matures on October 31, 2030. The facility is collateralized by deployed GPU infrastructure and by contracted cash flows arising under a customer agreement with an investment-grade counterparty.”</ns0:t>
  </ns0:si>
  <ns0:si>
    <ns0:t xml:space="preserve">AI's comment (not checked): First secured facility pledges GPU infrastructure and customer cash flows, adding a new AI infrastructure financing structure.
Repeats the paper's 775 (F154); the rest is new</ns0:t>
  </ns0:si>
  <ns0:si>
    <ns0:t xml:space="preserve">fact:NBIS:81#241</ns0:t>
  </ns0:si>
  <ns0:si>
    <ns0:t xml:space="preserve">F003, F092</ns0:t>
  </ns0:si>
  <ns0:si>
    <ns0:t xml:space="preserve">Nvidia</ns0:t>
  </ns0:si>
  <ns0:si>
    <ns0:t xml:space="preserve">Supply and capacity commitments jump to $279bn</ns0:t>
  </ns0:si>
  <ns0:si>
    <ns0:t xml:space="preserve">value: “We have significantly increased our supply and capacity commitments from $119 billion last quarter to $279 billion as of July 26, 2026 to meet future demand.”
value: “Supply and capacity | $92 | $87 | $88 | $6 | $5 | $1 | $279”</ns0:t>
  </ns0:si>
  <ns0:si>
    <ns0:t xml:space="preserve">AI's comment (not checked): The scale of committed supply spending is the demand-side counterpart to the data center revenue and to any customer-financing support.</ns0:t>
  </ns0:si>
  <ns0:si>
    <ns0:t xml:space="preserve">fact:NVDA:21#155.166.257.268</ns0:t>
  </ns0:si>
  <ns0:si>
    <ns0:t xml:space="preserve">F092</ns0:t>
  </ns0:si>
  <ns0:si>
    <ns0:t xml:space="preserve">SB Energy guarantees for OpenAI-affiliated leases</ns0:t>
  </ns0:si>
  <ns0:si>
    <ns0:t xml:space="preserve">value: “SB Energy Corp. guarantees – In August 2026, we entered into guarantees, capped at a total of $ 105 billion, to provide credit support on a land, power, and shell buildout with affiliates of SB Energy Corp. (SB Energy) on behalf of a customer, an affiliate of OpenAI Group PBC (OpenAI), related to leases for approximate…”
value: “SB Energy Corp. guarantees | 105.0”</ns0:t>
  </ns0:si>
  <ns0:si>
    <ns0:t xml:space="preserve">AI's comment (not checked): Adds maximum gross exposure on OpenAI-related infrastructure that sits alongside the intended investment, and the guarantees begin only as each data center phase is placed in service.</ns0:t>
  </ns0:si>
  <ns0:si>
    <ns0:t xml:space="preserve">fact:NVDA:23#157.164.172.258.266.274</ns0:t>
  </ns0:si>
  <ns0:si>
    <ns0:t xml:space="preserve">MOUs for $500bn third-party AI infrastructure financing platforms</ns0:t>
  </ns0:si>
  <ns0:si>
    <ns0:t xml:space="preserve">value: “In August 2026, we entered into memorandums of understanding with several large capital providers to establish independent financing platforms designed to mobilize more than $500 billion of third-party capital over time to support the deployment of AI infrastructure.”
value: “At our option, we may provide limited residual-value support for a portion of specific projects, subject to disciplined risk management and project-by-project evaluation.”</ns0:t>
  </ns0:si>
  <ns0:si>
    <ns0:t xml:space="preserve">AI's comment (not checked): Shows a push to move AI infrastructure funding off Nvidia's own balance sheet, but as preliminary arrangements that may not become definitive agreements and may carry residual-value support.</ns0:t>
  </ns0:si>
  <ns0:si>
    <ns0:t xml:space="preserve">fact:NVDA:25#159.165.171.261.267.273</ns0:t>
  </ns0:si>
  <ns0:si>
    <ns0:t xml:space="preserve">June 2026 debt issuance and commercial paper capacity</ns0:t>
  </ns0:si>
  <ns0:si>
    <ns0:t xml:space="preserve">value: “In June 2026, we issued an aggregate of $ 25.0 billion of senior unsecured notes across seven tranches for general corporate purposes.”
value: “As of July 26, 2026, our commercial paper program had a capacity of $ 25.0 billion, with no amounts outstanding.”</ns0:t>
  </ns0:si>
  <ns0:si>
    <ns0:t xml:space="preserve">AI's comment (not checked): Funding raised for general corporate purposes expands the capital available for investments, commitments and credit support.</ns0:t>
  </ns0:si>
  <ns0:si>
    <ns0:t xml:space="preserve">fact:NVDA:30#167.269.270</ns0:t>
  </ns0:si>
  <ns0:si>
    <ns0:t xml:space="preserve">F003</ns0:t>
  </ns0:si>
  <ns0:si>
    <ns0:t xml:space="preserve">Customer concentration and indirect AI customer</ns0:t>
  </ns0:si>
  <ns0:si>
    <ns0:t xml:space="preserve">value: “For the second quarter of fiscal year 2027, one direct customer represented 16 % of total revenue, which was primarily attributable to the Compute &amp; Networking segment.”
value: “We estimate that one AI research and deployment company contributed a meaningful amount of our revenue by purchasing cloud services from our customers in the second quarter and first half of fiscal year 2027.”</ns0:t>
  </ns0:si>
  <ns0:si>
    <ns0:t xml:space="preserve">AI's comment (not checked): It identifies the concentration of Data Center revenue in a few direct and indirect customers, including an AI model developer.</ns0:t>
  </ns0:si>
  <ns0:si>
    <ns0:t xml:space="preserve">fact:NVDA:31#168</ns0:t>
  </ns0:si>
  <ns0:si>
    <ns0:t xml:space="preserve">value: “We issued $25.0 billion of senior unsecured notes in the second quarter to be used for general corporate purposes.”</ns0:t>
  </ns0:si>
  <ns0:si>
    <ns0:t xml:space="preserve">AI's comment (not checked): Provides new debt funding amid AI infrastructure buildout.</ns0:t>
  </ns0:si>
  <ns0:si>
    <ns0:t xml:space="preserve">fact:NVDA:24#158</ns0:t>
  </ns0:si>
  <ns0:si>
    <ns0:t xml:space="preserve">Q3 FY2027 outlook and China</ns0:t>
  </ns0:si>
  <ns0:si>
    <ns0:t xml:space="preserve">value: “Revenue is expected to be $108.0 billion, plus or minus 2%. NVIDIA is not assuming any Data Center compute revenue from China in its outlook.”</ns0:t>
  </ns0:si>
  <ns0:si>
    <ns0:t xml:space="preserve">AI's comment (not checked): Near-term outlook excludes China Data Center compute revenue, affecting Data Center revenue trajectory.</ns0:t>
  </ns0:si>
  <ns0:si>
    <ns0:t xml:space="preserve">fact:NVDA:27#161</ns0:t>
  </ns0:si>
  <ns0:si>
    <ns0:t xml:space="preserve">value: “Long-term debt | 32,366 | 7,469”</ns0:t>
  </ns0:si>
  <ns0:si>
    <ns0:t xml:space="preserve">AI's comment (not checked): Long-term debt increase shows balance-sheet financing of the buildout.</ns0:t>
  </ns0:si>
  <ns0:si>
    <ns0:t xml:space="preserve">fact:NVDA:28#162.264.265</ns0:t>
  </ns0:si>
  <ns0:si>
    <ns0:t xml:space="preserve">Extended payment terms raise accounts receivable</ns0:t>
  </ns0:si>
  <ns0:si>
    <ns0:t xml:space="preserve">value: “Accounts receivable was $63.1 billion with 60 days sales outstanding (DSO), up from 45 days sequentially, due to extended payment terms on large, multi-quarter agreements with certain investment-grade customers.”</ns0:t>
  </ns0:si>
  <ns0:si>
    <ns0:t xml:space="preserve">AI's comment (not checked): Extended payment terms affect cash conversion and credit risk associated with Data Center revenue.</ns0:t>
  </ns0:si>
  <ns0:si>
    <ns0:t xml:space="preserve">fact:NVDA:87#259</ns0:t>
  </ns0:si>
  <ns0:si>
    <ns0:t xml:space="preserve">F005, F006</ns0:t>
  </ns0:si>
  <ns0:si>
    <ns0:t xml:space="preserve">Reclassification of ACIE to Hyperscale</ns0:t>
  </ns0:si>
  <ns0:si>
    <ns0:t xml:space="preserve">value: “During the second quarter we reclassified a company from AI Clouds, Industrial, &amp; Enterprise (ACIE) to Hyperscale due to a change in their business model and recast the prior period revenue associated with this company.”</ns0:t>
  </ns0:si>
  <ns0:si>
    <ns0:t xml:space="preserve">AI's comment (not checked): This reclassification changes the composition of Hyperscale and ACIE revenue, affecting comparability of these items.</ns0:t>
  </ns0:si>
  <ns0:si>
    <ns0:t xml:space="preserve">fact:NVDA:20#154.256</ns0:t>
  </ns0:si>
  <ns0:si>
    <ns0:t xml:space="preserve">Data center lease and AI cloud commitments</ns0:t>
  </ns0:si>
  <ns0:si>
    <ns0:t xml:space="preserve">value: “Our upcoming data center leases have terms up to twenty years and are expected to commence between the third quarter of fiscal year 2027 and fiscal year 2033.”
value: “Data center leases not commenced | — | 1 | 1 | 2 | 1 | 20 | 25”</ns0:t>
  </ns0:si>
  <ns0:si>
    <ns0:t xml:space="preserve">AI's comment (not checked): Lease and AI cloud commitments represent future fixed obligations and revenue-sharing arrangements tied to AI infrastructure.</ns0:t>
  </ns0:si>
  <ns0:si>
    <ns0:t xml:space="preserve">fact:NVDA:22#156.260</ns0:t>
  </ns0:si>
  <ns0:si>
    <ns0:t xml:space="preserve">F019, F020</ns0:t>
  </ns0:si>
  <ns0:si>
    <ns0:t xml:space="preserve">Neocloud revenue-sharing and take-or-pay</ns0:t>
  </ns0:si>
  <ns0:si>
    <ns0:t xml:space="preserve">value: “we have introduced a revenue-sharing structure. NVIDIA provides a take-or-pay commitment on a portion of the facility's capacity, a minimum revenue guarantee that gives lenders the confidence to underwrite the project, and in exchange, we share in a portion of the neoclouds revenue earned above that floor.”</ns0:t>
  </ns0:si>
  <ns0:si>
    <ns0:t xml:space="preserve">How much should this industry be worth?</ns0:t>
  </ns0:si>
  <ns0:si>
    <ns0:t xml:space="preserve">AI's comment (not checked): Introduces guarantees and revenue share tied to AI data-center financing.</ns0:t>
  </ns0:si>
  <ns0:si>
    <ns0:t xml:space="preserve">fact:NVDA:33#170.272</ns0:t>
  </ns0:si>
  <ns0:si>
    <ns0:t xml:space="preserve">Selective credit enhancement for frontier AI lab</ns0:t>
  </ns0:si>
  <ns0:si>
    <ns0:t xml:space="preserve">value: “For another frontier AI lab, we will provide selective credit enhancement for nearly 2 gigawatts of compute. This complements the substantial NVIDIA Compute capacity they've secured independently without NVIDIA's credit support.”</ns0:t>
  </ns0:si>
  <ns0:si>
    <ns0:t xml:space="preserve">AI's comment (not checked): Adds a contingent credit support structure tied to AI compute deployment.</ns0:t>
  </ns0:si>
  <ns0:si>
    <ns0:t xml:space="preserve">fact:NVDA:34#173.275</ns0:t>
  </ns0:si>
  <ns0:si>
    <ns0:t xml:space="preserve">AWS GPU deployment expansion</ns0:t>
  </ns0:si>
  <ns0:si>
    <ns0:t xml:space="preserve">value: “Today, we are delighted to announce an expansion of our partnership with AWS.”
value: “AWS is deploying an additional 2 million GPUs starting this quarter throug h the second quarter of fiscal 2029.”</ns0:t>
  </ns0:si>
  <ns0:si>
    <ns0:t xml:space="preserve">AI's comment (not checked): [the AI's comment was removed: it used figures not in the fragments (5)]</ns0:t>
  </ns0:si>
  <ns0:si>
    <ns0:t xml:space="preserve">fact:NVDA:32#169</ns0:t>
  </ns0:si>
  <ns0:si>
    <ns0:t xml:space="preserve">F019, F020, F098</ns0:t>
  </ns0:si>
  <ns0:si>
    <ns0:t xml:space="preserve">AWS GPU deployment commitment</ns0:t>
  </ns0:si>
  <ns0:si>
    <ns0:t xml:space="preserve">value: “Today, we are delighted to announce an expansion of our partnership with AWS. Building on its already vast installed base of NVIDIA Compute, AWS is deploying an additional 2 million GPUs starting this quarter”</ns0:t>
  </ns0:si>
  <ns0:si>
    <ns0:t xml:space="preserve">AI's comment (not checked): Adds a large multi-year hyperscaler commitment beyond the capex forecasts.</ns0:t>
  </ns0:si>
  <ns0:si>
    <ns0:t xml:space="preserve">fact:NVDA:88#271</ns0:t>
  </ns0:si>
  <ns0:si>
    <ns0:t xml:space="preserve">F059, F152</ns0:t>
  </ns0:si>
  <ns0:si>
    <ns0:t xml:space="preserve">Remaining performance obligations jumped to $664bn</ns0:t>
  </ns0:si>
  <ns0:si>
    <ns0:t xml:space="preserve">value: “Remaining performance obligations were $ 664 billion as of August 31, 2026 , of which we expect to recognize approximately 13 % as revenues over the next twelve months”</ns0:t>
  </ns0:si>
  <ns0:si>
    <ns0:t xml:space="preserve">4 runs: first 2026-09-26, last 2026-09-28</ns0:t>
  </ns0:si>
  <ns0:si>
    <ns0:t xml:space="preserve">AI's comment (not checked): Backlog growth is the demand driver behind the off-balance-sheet data-center lease commitments.</ns0:t>
  </ns0:si>
  <ns0:si>
    <ns0:t xml:space="preserve">fact:ORCL:6#119.123.137.140.222.227.325.327</ns0:t>
  </ns0:si>
  <ns0:si>
    <ns0:t xml:space="preserve">Capital expenditures step-up and unpaid capex</ns0:t>
  </ns0:si>
  <ns0:si>
    <ns0:t xml:space="preserve">value: “Cash used for capital expenditures increased from $8.5 billion in the first quarter of fiscal 2026 to $28.5 billion in the first quarter of fiscal 2027 primarily due to the expansion of our data centers.”
value: “Unpaid capital expenditures $ 6,247 $ 4,010”</ns0:t>
  </ns0:si>
  <ns0:si>
    <ns0:t xml:space="preserve">AI's comment (not checked): Capex is far above operating cash flow, so the ATM equity raise and unpaid capex accruals are what fund the build.</ns0:t>
  </ns0:si>
  <ns0:si>
    <ns0:t xml:space="preserve">fact:ORCL:7#120.125.136.225.228.229.231.323.324.328</ns0:t>
  </ns0:si>
  <ns0:si>
    <ns0:t xml:space="preserve">F152</ns0:t>
  </ns0:si>
  <ns0:si>
    <ns0:t xml:space="preserve">Unconditional purchase obligations for cloud infrastructure components and power</ns0:t>
  </ns0:si>
  <ns0:si>
    <ns0:t xml:space="preserve">value: “Total $ 34,150”
context: “As of August 31, 2026, our unconditional purchase and certain other obligations with terms of one year or greater, which were primarily related to long-term supply arrangements for purchasing components for cloud infrastructure assets and power supply arrangements for data centers, were as follows (in millions):”</ns0:t>
  </ns0:si>
  <ns0:si>
    <ns0:t xml:space="preserve">AI's comment (not checked): Fixed purchase commitments for AI infrastructure components and power sit alongside the lease commitments.</ns0:t>
  </ns0:si>
  <ns0:si>
    <ns0:t xml:space="preserve">fact:ORCL:11#127.142.331</ns0:t>
  </ns0:si>
  <ns0:si>
    <ns0:t xml:space="preserve">Debt funding: $43.0bn of senior notes issued in fiscal 2026</ns0:t>
  </ns0:si>
  <ns0:si>
    <ns0:t xml:space="preserve">value: “Interest expense increased in the first quarter of fiscal 2027, relative to the first quarter of fiscal 2026, primarily due to higher average borrowings from the issuances of $43.0 billion of senior notes in fiscal 2026, partially offset by lower interest expense due to scheduled repayments of $8.1 billion of debt made…”</ns0:t>
  </ns0:si>
  <ns0:si>
    <ns0:t xml:space="preserve">AI's comment (not checked): Shows the debt raised before this quarter and the repayment burden carried into it, as background to the no-new-debt finding.</ns0:t>
  </ns0:si>
  <ns0:si>
    <ns0:t xml:space="preserve">fact:ORCL:19#144</ns0:t>
  </ns0:si>
  <ns0:si>
    <ns0:t xml:space="preserve">Capital expenditures scaled up to $28.5bn in the quarter</ns0:t>
  </ns0:si>
  <ns0:si>
    <ns0:t xml:space="preserve">value: “Cash used for capital expenditures increased from $8.5 billion in the first quarter of fiscal 2026 to $28.5 billion in the first quarter of fiscal 2027 primarily due to the expansion of our data centers.”
context: “We expect our capital expenditures in fiscal 2027 to be higher than fiscal 2026 as we increase our existing data center capacity and establish data centers in new geographic locations in order to meet current and expected customer demand for our cloud offerings.”</ns0:t>
  </ns0:si>
  <ns0:si>
    <ns0:t xml:space="preserve">AI's comment (not checked): Cash build-out spending is the driver of the new lease and purchase commitments, and it exceeded operating cash flow in the quarter.</ns0:t>
  </ns0:si>
  <ns0:si>
    <ns0:t xml:space="preserve">fact:ORCL:8#121.124.138.141</ns0:t>
  </ns0:si>
  <ns0:si>
    <ns0:t xml:space="preserve">ATM program fully utilized</ns0:t>
  </ns0:si>
  <ns0:si>
    <ns0:t xml:space="preserve">value: “On February 2, 2026, we entered into an equity distribution agreement with certain sales agents party thereto, as amended on June 23, 2026, pursuant to which we may sell shares of our common stock having aggregate sales proceeds of up to $ 20 billion from time to time through an “at-the-market” offering program (the AT…”
value: “During the first quarter ended August 31, 2026, we fully utilized the ATM Program and issued 141 million shares of common stock under the ATM Program for net proceeds of $ 19.9 billion.”</ns0:t>
  </ns0:si>
  <ns0:si>
    <ns0:t xml:space="preserve">AI's comment (not checked): Oracle exhausted its equity issuance capacity in a single quarter, so further funding for AI infrastructure would have to come from other sources.
Repeats the paper's 19.9 (F154); the rest is new</ns0:t>
  </ns0:si>
  <ns0:si>
    <ns0:t xml:space="preserve">fact:ORCL:10#126.230</ns0:t>
  </ns0:si>
  <ns0:si>
    <ns0:t xml:space="preserve">New lease ROU assets recognised in the quarter</ns0:t>
  </ns0:si>
  <ns0:si>
    <ns0:t xml:space="preserve">value: “Operating leases $ 4,903 $ 3,181”
value: “Finance leases $ 1,539 $ 1,122”</ns0:t>
  </ns0:si>
  <ns0:si>
    <ns0:t xml:space="preserve">AI's comment (not checked): [the AI's comment was removed: it used figures not in the fragments (288)]</ns0:t>
  </ns0:si>
  <ns0:si>
    <ns0:t xml:space="preserve">fact:ORCL:18#143.329</ns0:t>
  </ns0:si>
  <ns0:si>
    <ns0:t xml:space="preserve">Debt was repaid, not raised, in the quarter</ns0:t>
  </ns0:si>
  <ns0:si>
    <ns0:t xml:space="preserve">value: “Repayments of senior notes, term loan credit agreements and other borrowings ( 4,202 ) ( 1,052 )”</ns0:t>
  </ns0:si>
  <ns0:si>
    <ns0:t xml:space="preserve">AI's comment (not checked): Financing in the quarter came from equity issuance while borrowings were repaid, consistent with no new debt.</ns0:t>
  </ns0:si>
  <ns0:si>
    <ns0:t xml:space="preserve">fact:ORCL:98#330</ns0:t>
  </ns0:si>
  <ns0:si>
    <ns0:t xml:space="preserve">F042</ns0:t>
  </ns0:si>
  <ns0:si>
    <ns0:t xml:space="preserve">AI datacenter capacity and GPU deliveries</ns0:t>
  </ns0:si>
  <ns0:si>
    <ns0:t xml:space="preserve">value: “with the delivery of 850MW additional datacenter capacity.”
value: “Since the end of Q4, Oracle also delivered more than 300,000 GPUs to its AI Cloud customers and almost triple the capacity delivered in Q4 FY26.”</ns0:t>
  </ns0:si>
  <ns0:si>
    <ns0:t xml:space="preserve">AI's comment (not checked): Shows rapid AI infrastructure capacity expansion.</ns0:t>
  </ns0:si>
  <ns0:si>
    <ns0:t xml:space="preserve">fact:ORCL:9#122.223.226.326</ns0:t>
  </ns0:si>
  <ns0:si>
    <ns0:t xml:space="preserve">value: “Operating lease right-of-use assets 33,967 29,690”
value: “Operating lease liabilities 30,594 26,648”</ns0:t>
  </ns0:si>
  <ns0:si>
    <ns0:t xml:space="preserve">AI's comment (not checked): Shows significant lease commitments for AI infrastructure.</ns0:t>
  </ns0:si>
  <ns0:si>
    <ns0:t xml:space="preserve">fact:ORCL:17#139</ns0:t>
  </ns0:si>
  <ns0:si>
    <ns0:t xml:space="preserve">dismiss</ns0:t>
  </ns0:si>
  <ns0:si>
    <ns0:t xml:space="preserve">Old item</ns0:t>
  </ns0:si>
  <ns0:si>
    <ns0:t xml:space="preserve">changed: paper 89.023 → 89</ns0:t>
  </ns0:si>
  <ns0:si>
    <ns0:t xml:space="preserve">89.023</ns0:t>
  </ns0:si>
  <ns0:si>
    <ns0:t xml:space="preserve">Q2 FY2027</ns0:t>
  </ns0:si>
  <ns0:si>
    <ns0:t xml:space="preserve">89</ns0:t>
  </ns0:si>
  <ns0:si>
    <ns0:t xml:space="preserve">value: “Data Center revenue of $89.0 billion, up 117% from a year ago”</ns0:t>
  </ns0:si>
  <ns0:si>
    <ns0:t xml:space="preserve">first version (26 Sep)</ns0:t>
  </ns0:si>
  <ns0:si>
    <ns0:t xml:space="preserve">From the first version of Part B, before its checks were fixed.
Press release headline bullet confirms Data Center revenue of $89.0 billion for the quarter ended July 26, 2026; matches $89.023bn rounded.</ns0:t>
  </ns0:si>
  <ns0:si>
    <ns0:t xml:space="preserve">v1:F003#4</ns0:t>
  </ns0:si>
  <ns0:si>
    <ns0:t xml:space="preserve">F098</ns0:t>
  </ns0:si>
  <ns0:si>
    <ns0:t xml:space="preserve">compare by hand: paper 40 per GW → 40</ns0:t>
  </ns0:si>
  <ns0:si>
    <ns0:t xml:space="preserve">40 per GW</ns0:t>
  </ns0:si>
  <ns0:si>
    <ns0:t xml:space="preserve">Said 26 Aug 2026</ns0:t>
  </ns0:si>
  <ns0:si>
    <ns0:t xml:space="preserve">40</ns0:t>
  </ns0:si>
  <ns0:si>
    <ns0:t xml:space="preserve">value: “Since Hopper, our revenue opportunity has grown from roughly $18 billion per gigawatt to $25 billion with Blackwell, to $40 billion with Vera Rubin, which now spans Vera CPU, Rubin GPU, NVLink, InfiniBand or Ethernet and Groq LPU announced earlier this week.”</ns0:t>
  </ns0:si>
  <ns0:si>
    <ns0:t xml:space="preserve">From the first version of Part B, before its checks were fixed.
Colette Kress gives $40bn per gigawatt with Vera Rubin; the 10 GW = $400bn arithmetic is not explicitly stated.</ns0:t>
  </ns0:si>
  <ns0:si>
    <ns0:t xml:space="preserve">v1:F098#5.6</ns0:t>
  </ns0:si>
  <ns0:si>
    <ns0:t xml:space="preserve">changed: paper 106.347 → 137.214</ns0:t>
  </ns0:si>
  <ns0:si>
    <ns0:t xml:space="preserve">106.347</ns0:t>
  </ns0:si>
  <ns0:si>
    <ns0:t xml:space="preserve">31 Mar 2026</ns0:t>
  </ns0:si>
  <ns0:si>
    <ns0:t xml:space="preserve">137.214</ns0:t>
  </ns0:si>
  <ns0:si>
    <ns0:t xml:space="preserve">as of 30 Jun 2026</ns0:t>
  </ns0:si>
  <ns0:si>
    <ns0:t xml:space="preserve">value: “Leases not yet commenced | 4,018 | 11,732 | 9,278 | 9,483 | 9,227 | 93,476 | 137,214”</ns0:t>
  </ns0:si>
  <ns0:si>
    <ns0:t xml:space="preserve">From the first version of Part B, before its checks were fixed.
Table in millions; 137,214 million = $137.214bn. Matches leases not yet commenced at 30 Jun 2026, not paper's 31 Mar 2026.</ns0:t>
  </ns0:si>
  <ns0:si>
    <ns0:t xml:space="preserve">v1:F061#7</ns0:t>
  </ns0:si>
  <ns0:si>
    <ns0:t xml:space="preserve">changed: paper 103.768 → 130.065</ns0:t>
  </ns0:si>
  <ns0:si>
    <ns0:t xml:space="preserve">103.768</ns0:t>
  </ns0:si>
  <ns0:si>
    <ns0:t xml:space="preserve">130.065</ns0:t>
  </ns0:si>
  <ns0:si>
    <ns0:t xml:space="preserve">value: “Unconditional purchase obligations (2) | 23,452 | 33,026 | 9,326 | 7,961 | 7,659 | 48,641 | 130,065”</ns0:t>
  </ns0:si>
  <ns0:si>
    <ns0:t xml:space="preserve">From the first version of Part B, before its checks were fixed.
Table in millions; 130,065 million = $130.065bn. Footnote covers energy, content, equipment, and software.</ns0:t>
  </ns0:si>
  <ns0:si>
    <ns0:t xml:space="preserve">v1:F062#8</ns0:t>
  </ns0:si>
  <ns0:si>
    <ns0:t xml:space="preserve">changed: paper 30 → 27</ns0:t>
  </ns0:si>
  <ns0:si>
    <ns0:t xml:space="preserve">30</ns0:t>
  </ns0:si>
  <ns0:si>
    <ns0:t xml:space="preserve">19 Feb 2026</ns0:t>
  </ns0:si>
  <ns0:si>
    <ns0:t xml:space="preserve">27</ns0:t>
  </ns0:si>
  <ns0:si>
    <ns0:t xml:space="preserve">as of 30 June 2026</ns0:t>
  </ns0:si>
  <ns0:si>
    <ns0:t xml:space="preserve">value: “The parties have committed to fund their respective pro rata share of approximately $ 27 billion in total estimated development costs.”</ns0:t>
  </ns0:si>
  <ns0:si>
    <ns0:t xml:space="preserve">From the first version of Part B, before its checks were fixed.
Same asset as the paper's 'Hyperion': Note 5 describes the Louisiana data center campus Venture entered into in October 2025 in which Meta holds a 20% membership interest (not stated in the quote); the paper's ~$30bn / ~1/5 is superseded by ~$27bn total estimated development costs at a 20% interest.</ns0:t>
  </ns0:si>
  <ns0:si>
    <ns0:t xml:space="preserve">v1:F046#9</ns0:t>
  </ns0:si>
  <ns0:si>
    <ns0:t xml:space="preserve">changed: paper 103.77 → 278.99</ns0:t>
  </ns0:si>
  <ns0:si>
    <ns0:t xml:space="preserve">103.77</ns0:t>
  </ns0:si>
  <ns0:si>
    <ns0:t xml:space="preserve">31 Dec 2025</ns0:t>
  </ns0:si>
  <ns0:si>
    <ns0:t xml:space="preserve">278.99</ns0:t>
  </ns0:si>
  <ns0:si>
    <ns0:t xml:space="preserve">value: “These lease obligations were approximately $ 278.99 billion, consisting of data centers, colocations, and certain network infrastructure, which will commence during the remainder of 2026 through 2036 with lease terms ranging from greater than one year to 30 years.”</ns0:t>
  </ns0:si>
  <ns0:si>
    <ns0:t xml:space="preserve">From the first version of Part B, before its checks were fixed.
Leases not yet commenced at 30 Jun 2026 = $278.99bn, up from $103.77bn at 31 Dec 2025; the 10-Q also adds ~$68bn of data-center leases signed in July 2026.</ns0:t>
  </ns0:si>
  <ns0:si>
    <ns0:t xml:space="preserve">v1:F060#10</ns0:t>
  </ns0:si>
  <ns0:si>
    <ns0:t xml:space="preserve">changed: paper 260 → 288</ns0:t>
  </ns0:si>
  <ns0:si>
    <ns0:t xml:space="preserve">260</ns0:t>
  </ns0:si>
  <ns0:si>
    <ns0:t xml:space="preserve">31 May 2026</ns0:t>
  </ns0:si>
  <ns0:si>
    <ns0:t xml:space="preserve">288</ns0:t>
  </ns0:si>
  <ns0:si>
    <ns0:t xml:space="preserve">as of August 31, 2026</ns0:t>
  </ns0:si>
  <ns0:si>
    <ns0:t xml:space="preserve">value: “As of August 31, 2026 , we had $ 288 billion of additional lease commitments, substantially all related to data center arrangements, that are generally expected to commence between the second quarter of fiscal 2027 a nd fiscal 2029”</ns0:t>
  </ns0:si>
  <ns0:si>
    <ns0:t xml:space="preserve">From the first version of Part B, before its checks were fixed.
Same measure (additional lease commitments not on balance sheet), updated date: $288bn at 31 Aug 2026 vs the paper's $260bn at 31 May 2026.</ns0:t>
  </ns0:si>
  <ns0:si>
    <ns0:t xml:space="preserve">v1:F059#11</ns0:t>
  </ns0:si>
  <ns0:si>
    <ns0:t xml:space="preserve">different definition: paper 2.7 / 8.8 / 16.0 → 11.4</ns0:t>
  </ns0:si>
  <ns0:si>
    <ns0:t xml:space="preserve">2.7 / 8.8 / 16.0</ns0:t>
  </ns0:si>
  <ns0:si>
    <ns0:t xml:space="preserve">Latest periods</ns0:t>
  </ns0:si>
  <ns0:si>
    <ns0:t xml:space="preserve">11.4</ns0:t>
  </ns0:si>
  <ns0:si>
    <ns0:t xml:space="preserve">first quarter of fiscal 2027 (three months ended August 31, 2026)</ns0:t>
  </ns0:si>
  <ns0:si>
    <ns0:t xml:space="preserve">value: “During the first quarter of fiscal 2027, we received $ 11.4 billion of prepayments from customers that included a significant financing component.”</ns0:t>
  </ns0:si>
  <ns0:si>
    <ns0:t xml:space="preserve">From the first version of Part B, before its checks were fixed.
Oracle only (document does not cover CoreWeave or Nebius). The figure is a quarterly inflow, not an annual figure; the paper's $16.0bn a year is not directly comparable and no annual amount is disclosed.</ns0:t>
  </ns0:si>
  <ns0:si>
    <ns0:t xml:space="preserve">v1:F150#12</ns0:t>
  </ns0:si>
  <ns0:si>
    <ns0:t xml:space="preserve">changed: paper 335.6 → 288</ns0:t>
  </ns0:si>
  <ns0:si>
    <ns0:t xml:space="preserve">335.6</ns0:t>
  </ns0:si>
  <ns0:si>
    <ns0:t xml:space="preserve">30 Jun / 31 Aug 2026</ns0:t>
  </ns0:si>
  <ns0:si>
    <ns0:t xml:space="preserve">value: “we had $ 288 billion of additional lease commitments, substantially all related to data center arrangements, that are generally expected to commence between the second quarter of fiscal 2027 a nd fiscal 2029 and for terms of fifteen to nineteen years that were not reflected on our condensed consolidated balance sheets …”</ns0:t>
  </ns0:si>
  <ns0:si>
    <ns0:t xml:space="preserve">From the first version of Part B, before its checks were fixed.
Oracle portion only: leases signed but not commenced are $288bn. The document does not cover CoreWeave or Nebius, so the $335.6bn combined total is not supported here.</ns0:t>
  </ns0:si>
  <ns0:si>
    <ns0:t xml:space="preserve">v1:F152#13</ns0:t>
  </ns0:si>
  <ns0:si>
    <ns0:t xml:space="preserve">compare by hand: paper 1.2+1.2 / 0.775+5.75 / 19.9 → 19.9</ns0:t>
  </ns0:si>
  <ns0:si>
    <ns0:t xml:space="preserve">1.2+1.2 / 0.775+5.75 / 19.9</ns0:t>
  </ns0:si>
  <ns0:si>
    <ns0:t xml:space="preserve">Jul–Aug 2026</ns0:t>
  </ns0:si>
  <ns0:si>
    <ns0:t xml:space="preserve">19.9</ns0:t>
  </ns0:si>
  <ns0:si>
    <ns0:t xml:space="preserve">first quarter ended August 31, 2026</ns0:t>
  </ns0:si>
  <ns0:si>
    <ns0:t xml:space="preserve">value: “During the first quarter ended August 31, 2026, we fully utilized the ATM Program and issued 141 million shares of common stock under the ATM Program for net proceeds of $ 19.9 billion.”</ns0:t>
  </ns0:si>
  <ns0:si>
    <ns0:t xml:space="preserve">From the first version of Part B, before its checks were fixed.
Oracle portion only. $19.9bn of ATM equity is confirmed and the $20bn program is now fully used. No new debt was issued, but the quarter included debt repayments (senior notes, term loans and other borrowings of $4,202m), so 'no debt' applies only to new issuance.</ns0:t>
  </ns0:si>
  <ns0:si>
    <ns0:t xml:space="preserve">v1:F154#14</ns0:t>
  </ns0:si>
  <ns0:si>
    <ns0:t xml:space="preserve">compare by hand: paper 11.918 / 9.770 / 7.836 / 2.827 → 11.918</ns0:t>
  </ns0:si>
  <ns0:si>
    <ns0:t xml:space="preserve">11.918 / 9.770 / 7.836 / 2.827</ns0:t>
  </ns0:si>
  <ns0:si>
    <ns0:t xml:space="preserve">30 Jun 2026 (Equinix 31 Dec 2025)</ns0:t>
  </ns0:si>
  <ns0:si>
    <ns0:t xml:space="preserve">11.918</ns0:t>
  </ns0:si>
  <ns0:si>
    <ns0:t xml:space="preserve">as of June 30, 2026</ns0:t>
  </ns0:si>
  <ns0:si>
    <ns0:t xml:space="preserve">value: “Construction in progress | 11,918 | 9,376”</ns0:t>
  </ns0:si>
  <ns0:si>
    <ns0:t xml:space="preserve">From the first version of Part B, before its checks were fixed.
Construction in progress at June 30, 2026 is $11,918 million. Row is CoreWeave-only; other companies are not in this document.</ns0:t>
  </ns0:si>
  <ns0:si>
    <ns0:t xml:space="preserve">v1:F135#15</ns0:t>
  </ns0:si>
  <ns0:si>
    <ns0:t xml:space="preserve">compare by hand: paper 20.903 / 10.3 → 20.903</ns0:t>
  </ns0:si>
  <ns0:si>
    <ns0:t xml:space="preserve">20.903 / 10.3</ns0:t>
  </ns0:si>
  <ns0:si>
    <ns0:t xml:space="preserve">31 Dec 2025 / Q2 2026 × 4</ns0:t>
  </ns0:si>
  <ns0:si>
    <ns0:t xml:space="preserve">20.903</ns0:t>
  </ns0:si>
  <ns0:si>
    <ns0:t xml:space="preserve">value: “Technology equipment | $33,823 | $20,903”</ns0:t>
  </ns0:si>
  <ns0:si>
    <ns0:t xml:space="preserve">From the first version of Part B, before its checks were fixed.
Technology equipment at Dec 31, 2025 is $20,903 million. Q2 2026 revenue is $2,575 million; the $10.3bn annualized revenue and 16.9% replacement bill are not stated in the 10-Q.</ns0:t>
  </ns0:si>
  <ns0:si>
    <ns0:t xml:space="preserve">v1:F141#16</ns0:t>
  </ns0:si>
  <ns0:si>
    <ns0:t xml:space="preserve">changed: paper 335.6 → 35.5</ns0:t>
  </ns0:si>
  <ns0:si>
    <ns0:t xml:space="preserve">35.5</ns0:t>
  </ns0:si>
  <ns0:si>
    <ns0:t xml:space="preserve">value: “The aggregate amount of estimated future undiscounted lease payments associated with such leases is $ 35.5 billion.”</ns0:t>
  </ns0:si>
  <ns0:si>
    <ns0:t xml:space="preserve">From the first version of Part B, before its checks were fixed.
Leases not yet commenced, CoreWeave-only.</ns0:t>
  </ns0:si>
  <ns0:si>
    <ns0:t xml:space="preserve">v1:F152#17</ns0:t>
  </ns0:si>
  <ns0:si>
    <ns0:t xml:space="preserve">different definition: paper 2.7 / 8.8 / 16.0 → 4.3977</ns0:t>
  </ns0:si>
  <ns0:si>
    <ns0:t xml:space="preserve">4.3977</ns0:t>
  </ns0:si>
  <ns0:si>
    <ns0:t xml:space="preserve">Six months ended June 30, 2026</ns0:t>
  </ns0:si>
  <ns0:si>
    <ns0:t xml:space="preserve">value: “During the three and six months ended June 30, 2026, total deferred revenue increased by $1,197.1 and $4,397.7, respectively, primarily due to the recognition of prepayments received in advance for future services under customer agreements.”</ns0:t>
  </ns0:si>
  <ns0:si>
    <ns0:t xml:space="preserve">From the first version of Part B, before its checks were fixed.
Document gives no annual figure of $8.8bn; it discloses the six-month (and three-month) increase in deferred revenue from customer prepayments. $4,397.7m for H1 2026; doubling it is an undisclosed run rate, not a stated yearly amount.</ns0:t>
  </ns0:si>
  <ns0:si>
    <ns0:t xml:space="preserve">v1:F150#18</ns0:t>
  </ns0:si>
  <ns0:si>
    <ns0:t xml:space="preserve">changed: paper 335.6 → 12.0541</ns0:t>
  </ns0:si>
  <ns0:si>
    <ns0:t xml:space="preserve">12.0541</ns0:t>
  </ns0:si>
  <ns0:si>
    <ns0:t xml:space="preserve">As of June 30, 2026</ns0:t>
  </ns0:si>
  <ns0:si>
    <ns0:t xml:space="preserve">value: “As of June 30, 2026, the Company had executed additional lease agreements, primarily for data center facilities, as well as equipment, that had not yet commenced. The aggregate estimated future undiscounted lease payments associated with these agreements amounted to $12,054.1, and the Company had made prepayments of $6…”</ns0:t>
  </ns0:si>
  <ns0:si>
    <ns0:t xml:space="preserve">From the first version of Part B, before its checks were fixed.
Nebius portion only of the multi-company row (paper's 335.6 is the cross-company aggregate): $12,054.1m = $12.0541bn of signed but not commenced leases.</ns0:t>
  </ns0:si>
  <ns0:si>
    <ns0:t xml:space="preserve">v1:F152#19</ns0:t>
  </ns0:si>
  <ns0:si>
    <ns0:t xml:space="preserve">compare by hand: paper 1.2+1.2 / 0.775+5.75 / 19.9 → 0.775</ns0:t>
  </ns0:si>
  <ns0:si>
    <ns0:t xml:space="preserve">0.775</ns0:t>
  </ns0:si>
  <ns0:si>
    <ns0:t xml:space="preserve">July 10, 2026</ns0:t>
  </ns0:si>
  <ns0:si>
    <ns0:t xml:space="preserve">value: “On July 10, 2026, the Group entered into its first senior secured debt facility in an aggregate principal amount of approximately $775.”</ns0:t>
  </ns0:si>
  <ns0:si>
    <ns0:t xml:space="preserve">From the first version of Part B, before its checks were fixed.
Nebius portion of the row. The ~$775m ($0.775bn) facility is confirmed; however the document discloses no $5.75bn convertible issuance after 30 June 2026 (the only converts are the March 2026 notes of $4.34bn principal and the June/September 2025 notes of $4.16bn).</ns0:t>
  </ns0:si>
  <ns0:si>
    <ns0:t xml:space="preserve">v1:F154#20</ns0:t>
  </ns0:si>
  <ns0:si>
    <ns0:t xml:space="preserve">Equinix</ns0:t>
  </ns0:si>
  <ns0:si>
    <ns0:t xml:space="preserve">different definition: paper 11.918 / 9.770 / 7.836 / 2.827 → 15</ns0:t>
  </ns0:si>
  <ns0:si>
    <ns0:t xml:space="preserve">15</ns0:t>
  </ns0:si>
  <ns0:si>
    <ns0:t xml:space="preserve">value: “Approximately $ 15.0 billion of revenues, including deferred installation revenues, are expected to be recognized in future periods related to unsatisfied performance obligations as of June 30, 2026.”</ns0:t>
  </ns0:si>
  <ns0:si>
    <ns0:t xml:space="preserve">From the first version of Part B, before its checks were fixed.
Row compares four companies (CoreWeave, Digital Realty, Nebius, Equinix); this filing is Equinix's 10-Q, so only the Equinix figure is checked. The only comparable contracted-future-revenue disclosure is total remaining performance obligations of $15.0bn as of 30 June 2026, which is defined broadly (includes contracts under one-year renewal periods plus lessor revenues, excludes xScale fees) and is not the same measure or period as the paper's $2.827bn at 31 Dec 2025. No $2.827bn figure and no 31 Dec 2025 RPO figure appear anywhere in this document.</ns0:t>
  </ns0:si>
  <ns0:si>
    <ns0:t xml:space="preserve">v1:F135#21</ns0:t>
  </ns0:si>
  <ns0:si>
    <ns0:t xml:space="preserve">AI cloud agreements commitments</ns0:t>
  </ns0:si>
  <ns0:si>
    <ns0:t xml:space="preserve">value: “Our commitments, which are typically six years in duration, totaled $36 billion as of July 26, 2026, and decrease as capacity is used by third-party customers or by us for our research and development efforts.”</ns0:t>
  </ns0:si>
  <ns0:si>
    <ns0:t xml:space="preserve">From the first version of Part B, before its checks were fixed.</ns0:t>
  </ns0:si>
  <ns0:si>
    <ns0:t xml:space="preserve">v1:fact#34</ns0:t>
  </ns0:si>
  <ns0:si>
    <ns0:t xml:space="preserve">OpenAI ~12 GW commitment and SoftBank Portsmouth site</ns0:t>
  </ns0:si>
  <ns0:si>
    <ns0:t xml:space="preserve">value: “OpenAI's existing and planned commitments represent approximately 12 gigawatts of NVIDIA Compute.”</ns0:t>
  </ns0:si>
  <ns0:si>
    <ns0:t xml:space="preserve">v1:fact#38</ns0:t>
  </ns0:si>
  <ns0:si>
    <ns0:t xml:space="preserve">OpenAI partnership extension</ns0:t>
  </ns0:si>
  <ns0:si>
    <ns0:t xml:space="preserve">value: “In October 2025 and April 2026, we extended this partnership and continue to build on our shared vision to advance artificial intelligence responsibly and make its benefits broadly accessible.”</ns0:t>
  </ns0:si>
  <ns0:si>
    <ns0:t xml:space="preserve">v1:fact#49</ns0:t>
  </ns0:si>
  <ns0:si>
    <ns0:t xml:space="preserve">F089, F090</ns0:t>
  </ns0:si>
  <ns0:si>
    <ns0:t xml:space="preserve">Commercial bookings ex OpenAI</ns0:t>
  </ns0:si>
  <ns0:si>
    <ns0:t xml:space="preserve">value: “Commercial bookings grew 18% when excluding the impact from OpenAI driven by strong execution in our core annuity sales motions and reflecting broad customer demand across geographies and customer segments. Bookings increased 10% and 11% in constant currency when including Azure commitments from OpenAI.”</ns0:t>
  </ns0:si>
  <ns0:si>
    <ns0:t xml:space="preserve">v1:fact#53</ns0:t>
  </ns0:si>
  <ns0:si>
    <ns0:t xml:space="preserve">Anthropic investment gains in net income</ns0:t>
  </ns0:si>
  <ns0:si>
    <ns0:t xml:space="preserve">value: “Second quarter 2026 net income includes non-operating pre-tax other income of $53.4 billion, primarily from our investments in Anthropic.”</ns0:t>
  </ns0:si>
  <ns0:si>
    <ns0:t xml:space="preserve">v1:fact#59</ns0:t>
  </ns0:si>
  <ns0:si>
    <ns0:t xml:space="preserve">Anthropic financing facility</ns0:t>
  </ns0:si>
  <ns0:si>
    <ns0:t xml:space="preserve">value: “Additionally, we entered into a financing arrangement to make available to Anthropic an aggregate facility not to exceed $ 20.0 billion that will expire 30 months after an Anthropic liquidity event, including an initial public offering (“IPO”).”</ns0:t>
  </ns0:si>
  <ns0:si>
    <ns0:t xml:space="preserve">v1:fact#62</ns0:t>
  </ns0:si>
  <ns0:si>
    <ns0:t xml:space="preserve">Executive share-sale plan</ns0:t>
  </ns0:si>
  <ns0:si>
    <ns0:t xml:space="preserve">value: “The trading plan is intended to permit Mr. Ellison to sell up to 50 million shares of Oracle common stock.”</ns0:t>
  </ns0:si>
  <ns0:si>
    <ns0:t xml:space="preserve">v1:fact#90</ns0:t>
  </ns0:si>
  <ns0:si>
    <ns0:t xml:space="preserve">F154, F155</ns0:t>
  </ns0:si>
  <ns0:si>
    <ns0:t xml:space="preserve">Total indebtedness and undrawn capacity</ns0:t>
  </ns0:si>
  <ns0:si>
    <ns0:t xml:space="preserve">value: “As of June 30, 2026, our total indebtedness was $35.6 billion and we had $10.0 billion of undrawn availability under our Revolving Credit Facility, DDTL 3.0 Facility, DDTL 4.0 Facility (as defined below), and DDTL 5.0 Facility (as defined below).”</ns0:t>
  </ns0:si>
  <ns0:si>
    <ns0:t xml:space="preserve">v1:fact#94</ns0:t>
  </ns0:si>
  <ns0:si>
    <ns0:t xml:space="preserve">New $5.5bn revolving credit facility</ns0:t>
  </ns0:si>
  <ns0:si>
    <ns0:t xml:space="preserve">value: “On July 27, 2026, we entered into a $ 5.5 billion senior unsecured multicurrency revolving credit facility, which replaces our existing 2022 Revolving Facility.”</ns0:t>
  </ns0:si>
  <ns0:si>
    <ns0:t xml:space="preserve">v1:fact#104</ns0:t>
  </ns0:si>
  <ns0:si>
    <ns0:t xml:space="preserve">atNorth joint purchase equity commitment</ns0:t>
  </ns0:si>
  <ns0:si>
    <ns0:t xml:space="preserve">value: “On February 26, 2026, we entered into an equity commitment letter with a subsidiary of Canadian Pension Plan Investment Board ("CPPIB") to contribute up to $ 963 million in exchange for approximately 40 % ownership of the subsidiary, in connection with the subsidiary's planned acquisition of atNorth, a Nordic high-dens…”</ns0:t>
  </ns0:si>
  <ns0:si>
    <ns0:t xml:space="preserve">v1:fact#105</ns0:t>
  </ns0:si>
  <ns0:si>
    <ns0:t xml:space="preserve">Unaccrued capex and purchase commitments</ns0:t>
  </ns0:si>
  <ns0:si>
    <ns0:t xml:space="preserve">value: “approximately $6.1 billion of unaccrued capital expenditure contractual commitments, primarily for IBX equipment not yet delivered and labor not yet provided in connection with the work necessary to complete construction and open IBX data center expansion projects prior to making them available to customers for install…”</ns0:t>
  </ns0:si>
  <ns0:si>
    <ns0:t xml:space="preserve">v1:fact#106</ns0:t>
  </ns0:si>
  <ns0:si>
    <ns0:t xml:space="preserve">JV credit-facility guarantee</ns0:t>
  </ns0:si>
  <ns0:si>
    <ns0:t xml:space="preserve">value: “we provided the lenders with a guarantee covering 20 % of all payments of principal and interest due and payable by the EMEA 2 Joint Venture under the credit facility, up to a limit of $ 229 million in total at the exchange rate in effect on June 30, 2026. As of June 30, 2026, the maximum potential amount of our future…”</ns0:t>
  </ns0:si>
  <ns0:si>
    <ns0:t xml:space="preserve">v1:fact#107</ns0:t>
  </ns0:si>
  <ns0:si>
    <ns0:t xml:space="preserve">value: “Our largest customer accounted for approximately 2% of our recurring revenues for the three and six months ended June 30, 2026 and 3% for the three and six months ended June 30, 2025.”</ns0:t>
  </ns0:si>
  <ns0:si>
    <ns0:t xml:space="preserve">v1:fact#108</ns0:t>
  </ns0:si>
  <ns0:si>
    <ns0:t xml:space="preserve">Approvals: how to use this sheet</ns0:t>
  </ns0:si>
  <ns0:si>
    <ns0:t xml:space="preserve">Made 01 Oct 2026 08:00 from the open list. 131 items: 8 figure updates, 3 Part A figures, 1 arithmetic, 89 leads, 30 old items.</ns0:t>
  </ns0:si>
  <ns0:si>
    <ns0:t xml:space="preserve">Sheet made (do not edit): 2026-10-01T08:00:00</ns0:t>
  </ns0:si>
  <ns0:si>
    <ns0:t xml:space="preserve">1. On the Decide sheet, fill in the yellow Decision column for the items you want to decide now. Leave it empty (or choose 'later') to decide later: the item stays open and comes back on the next sheet.</ns0:t>
  </ns0:si>
  <ns0:si>
    <ns0:t xml:space="preserve">2. The choices (there is a drop-down list in each cell):</ns0:t>
  </ns0:si>
  <ns0:si>
    <ns0:t xml:space="preserve">     Figure update: later, approve, keep paper, reader wrong</ns0:t>
  </ns0:si>
  <ns0:si>
    <ns0:t xml:space="preserve">     Part A figure: later, approve, keep paper, reader wrong</ns0:t>
  </ns0:si>
  <ns0:si>
    <ns0:t xml:space="preserve">     Arithmetic: later, approve, keep paper, reader wrong</ns0:t>
  </ns0:si>
  <ns0:si>
    <ns0:t xml:space="preserve">     No longer found: later, dismiss</ns0:t>
  </ns0:si>
  <ns0:si>
    <ns0:t xml:space="preserve">     To do: later, done</ns0:t>
  </ns0:si>
  <ns0:si>
    <ns0:t xml:space="preserve">     Lead: later, use, dismiss</ns0:t>
  </ns0:si>
  <ns0:si>
    <ns0:t xml:space="preserve">     Old item: later, dismiss</ns0:t>
  </ns0:si>
  <ns0:si>
    <ns0:t xml:space="preserve">     approve = the paper should change to the new figure (it goes on 'Changes to make.md'). keep paper = the new figure is real but the paper is right as it stands. reader wrong = the proposal is a mistake. use = a lead worth using (it goes on 'Leads to use.md'). dismiss = close it. done = you have changed the paper (or used the lead).</ns0:t>
  </ns0:si>
  <ns0:si>
    <ns0:t xml:space="preserve">3. Note (optional): why. For 'reader wrong', say what it got wrong: it goes on 'Reader mistakes.md' to be fixed.</ns0:t>
  </ns0:si>
  <ns0:si>
    <ns0:t xml:space="preserve">4. Do not edit the ID column. You can sort and filter; only Decision, Note and ID are read back.</ns0:t>
  </ns0:si>
  <ns0:si>
    <ns0:t xml:space="preserve">5. Save it as .xlsx in the same folder (in Numbers: File &gt; Export To &gt; Excel).</ns0:t>
  </ns0:si>
  <ns0:si>
    <ns0:t xml:space="preserve">6. In the terminal, from the project folder:  python3 Agent/approvals/approvals.py check   shows what will be recorded and writes nothing. Then:  python3 Agent/approvals/approvals.py record</ns0:t>
  </ns0:si>
  <ns0:si>
    <ns0:t xml:space="preserve">7. Changed your mind?  python3 Agent/approvals/approvals.py reopen F046   opens a row's decided items again.</ns0:t>
  </ns0:si>
  <ns0:si>
    <ns0:t xml:space="preserve">Nothing here changes the paper, the models or the website. Your decisions are added to Agent/reader/decisions.jsonl; earlier lines are never changed.</ns0:t>
  </ns0:si>
</ns0:sst>
</file>

<file path=xl/styles.xml><?xml version="1.0" encoding="utf-8"?>
<ns0:styleSheet xmlns:ns0="http://schemas.openxmlformats.org/spreadsheetml/2006/main">
  <ns0:numFmts count="1">
    <ns0:numFmt numFmtId="164" formatCode="General"/>
  </ns0:numFmts>
  <ns0:fonts count="8">
    <ns0:font>
      <ns0:sz val="11"/>
      <ns0:name val="Calibri"/>
      <ns0:family val="0"/>
      <ns0:charset val="1"/>
    </ns0:font>
    <ns0:font>
      <ns0:sz val="10"/>
      <ns0:name val="Arial"/>
      <ns0:family val="0"/>
    </ns0:font>
    <ns0:font>
      <ns0:sz val="10"/>
      <ns0:name val="Arial"/>
      <ns0:family val="0"/>
    </ns0:font>
    <ns0:font>
      <ns0:sz val="10"/>
      <ns0:name val="Arial"/>
      <ns0:family val="0"/>
    </ns0:font>
    <ns0:font>
      <ns0:b val="true"/>
      <ns0:sz val="11"/>
      <ns0:name val="Calibri"/>
      <ns0:family val="0"/>
      <ns0:charset val="1"/>
    </ns0:font>
    <ns0:font>
      <ns0:u val="single"/>
      <ns0:sz val="11"/>
      <ns0:color rgb="FF0563C1"/>
      <ns0:name val="Calibri"/>
      <ns0:family val="0"/>
      <ns0:charset val="1"/>
    </ns0:font>
    <ns0:font>
      <ns0:sz val="9"/>
      <ns0:color rgb="FF808080"/>
      <ns0:name val="Calibri"/>
      <ns0:family val="0"/>
      <ns0:charset val="1"/>
    </ns0:font>
    <ns0:font>
      <ns0:b val="true"/>
      <ns0:sz val="14"/>
      <ns0:name val="Calibri"/>
      <ns0:family val="0"/>
      <ns0:charset val="1"/>
    </ns0:font>
  </ns0:fonts>
  <ns0:fills count="4">
    <ns0:fill>
      <ns0:patternFill patternType="none"/>
    </ns0:fill>
    <ns0:fill>
      <ns0:patternFill patternType="gray125"/>
    </ns0:fill>
    <ns0:fill>
      <ns0:patternFill patternType="solid">
        <ns0:fgColor rgb="FFE7E6E6"/>
        <ns0:bgColor rgb="FFFFF2CC"/>
      </ns0:patternFill>
    </ns0:fill>
    <ns0:fill>
      <ns0:patternFill patternType="solid">
        <ns0:fgColor rgb="FFFFF2CC"/>
        <ns0:bgColor rgb="FFE7E6E6"/>
      </ns0:patternFill>
    </ns0:fill>
  </ns0:fills>
  <ns0:borders count="1">
    <ns0:border diagonalUp="false" diagonalDown="false">
      <ns0:left/>
      <ns0:right/>
      <ns0:top/>
      <ns0:bottom/>
      <ns0:diagonal/>
    </ns0:border>
  </ns0:borders>
  <ns0:cellStyleXfs count="20">
    <ns0:xf numFmtId="164" fontId="0" fillId="0" borderId="0" applyFont="true" applyBorder="true" applyAlignment="true" applyProtection="true">
      <ns0:alignment horizontal="general" vertical="bottom" textRotation="0" wrapText="false" indent="0" shrinkToFit="false"/>
      <ns0:protection locked="true" hidden="false"/>
    </ns0:xf>
    <ns0:xf numFmtId="0" fontId="1" fillId="0" borderId="0" applyFont="true" applyBorder="false" applyAlignment="false" applyProtection="false"/>
    <ns0:xf numFmtId="0" fontId="1" fillId="0" borderId="0" applyFont="true" applyBorder="false" applyAlignment="false" applyProtection="false"/>
    <ns0:xf numFmtId="0" fontId="2" fillId="0" borderId="0" applyFont="true" applyBorder="false" applyAlignment="false" applyProtection="false"/>
    <ns0:xf numFmtId="0" fontId="2"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0" fontId="0" fillId="0" borderId="0" applyFont="true" applyBorder="false" applyAlignment="false" applyProtection="false"/>
    <ns0:xf numFmtId="43" fontId="1" fillId="0" borderId="0" applyFont="true" applyBorder="false" applyAlignment="false" applyProtection="false"/>
    <ns0:xf numFmtId="41" fontId="1" fillId="0" borderId="0" applyFont="true" applyBorder="false" applyAlignment="false" applyProtection="false"/>
    <ns0:xf numFmtId="44" fontId="1" fillId="0" borderId="0" applyFont="true" applyBorder="false" applyAlignment="false" applyProtection="false"/>
    <ns0:xf numFmtId="42" fontId="1" fillId="0" borderId="0" applyFont="true" applyBorder="false" applyAlignment="false" applyProtection="false"/>
    <ns0:xf numFmtId="9" fontId="1" fillId="0" borderId="0" applyFont="true" applyBorder="false" applyAlignment="false" applyProtection="false"/>
  </ns0:cellStyleXfs>
  <ns0:cellXfs count="8">
    <ns0:xf numFmtId="164" fontId="0" fillId="0" borderId="0" xfId="0" applyFont="false" applyBorder="false" applyAlignment="false" applyProtection="false">
      <ns0:alignment horizontal="general" vertical="bottom" textRotation="0" wrapText="false" indent="0" shrinkToFit="false"/>
      <ns0:protection locked="true" hidden="false"/>
    </ns0:xf>
    <ns0:xf numFmtId="164" fontId="4" fillId="2" borderId="0" xfId="0" applyFont="true" applyBorder="false" applyAlignment="true" applyProtection="false">
      <ns0:alignment horizontal="general" vertical="top" textRotation="0" wrapText="true" indent="0" shrinkToFit="false"/>
      <ns0:protection locked="true" hidden="false"/>
    </ns0:xf>
    <ns0:xf numFmtId="164" fontId="0" fillId="0" borderId="0" xfId="0" applyFont="false" applyBorder="false" applyAlignment="true" applyProtection="false">
      <ns0:alignment horizontal="general" vertical="top" textRotation="0" wrapText="false" indent="0" shrinkToFit="false"/>
      <ns0:protection locked="true" hidden="false"/>
    </ns0:xf>
    <ns0:xf numFmtId="164" fontId="4" fillId="3" borderId="0" xfId="0" applyFont="true" applyBorder="false" applyAlignment="true" applyProtection="false">
      <ns0:alignment horizontal="general" vertical="top" textRotation="0" wrapText="true" indent="0" shrinkToFit="false"/>
      <ns0:protection locked="true" hidden="false"/>
    </ns0:xf>
    <ns0:xf numFmtId="164" fontId="0" fillId="0" borderId="0" xfId="0" applyFont="true" applyBorder="false" applyAlignment="true" applyProtection="false">
      <ns0:alignment horizontal="general" vertical="top" textRotation="0" wrapText="true" indent="0" shrinkToFit="false"/>
      <ns0:protection locked="true" hidden="false"/>
    </ns0:xf>
    <ns0:xf numFmtId="164" fontId="5" fillId="0" borderId="0" xfId="0" applyFont="true" applyBorder="false" applyAlignment="true" applyProtection="false">
      <ns0:alignment horizontal="general" vertical="top" textRotation="0" wrapText="true" indent="0" shrinkToFit="false"/>
      <ns0:protection locked="true" hidden="false"/>
    </ns0:xf>
    <ns0:xf numFmtId="164" fontId="6" fillId="0" borderId="0" xfId="0" applyFont="true" applyBorder="false" applyAlignment="true" applyProtection="false">
      <ns0:alignment horizontal="general" vertical="top" textRotation="0" wrapText="true" indent="0" shrinkToFit="false"/>
      <ns0:protection locked="true" hidden="false"/>
    </ns0:xf>
    <ns0:xf numFmtId="164" fontId="7" fillId="0" borderId="0" xfId="0" applyFont="true" applyBorder="false" applyAlignment="false" applyProtection="false">
      <ns0:alignment horizontal="general" vertical="bottom" textRotation="0" wrapText="false" indent="0" shrinkToFit="false"/>
      <ns0:protection locked="true" hidden="false"/>
    </ns0:xf>
  </ns0:cellXfs>
  <ns0:cellStyles count="6">
    <ns0:cellStyle name="Normal" xfId="0" builtinId="0"/>
    <ns0:cellStyle name="Comma" xfId="15" builtinId="3"/>
    <ns0:cellStyle name="Comma [0]" xfId="16" builtinId="6"/>
    <ns0:cellStyle name="Currency" xfId="17" builtinId="4"/>
    <ns0:cellStyle name="Currency [0]" xfId="18" builtinId="7"/>
    <ns0:cellStyle name="Percent" xfId="19" builtinId="5"/>
  </ns0:cellStyles>
  <ns0:dxfs count="5">
    <ns0:dxf>
      <ns0:fill>
        <ns0:patternFill patternType="solid">
          <ns0:fgColor rgb="FFE7E6E6"/>
          <ns0:bgColor rgb="FF000000"/>
        </ns0:patternFill>
      </ns0:fill>
    </ns0:dxf>
    <ns0:dxf>
      <ns0:fill>
        <ns0:patternFill patternType="solid">
          <ns0:bgColor rgb="FF000000"/>
        </ns0:patternFill>
      </ns0:fill>
    </ns0:dxf>
    <ns0:dxf>
      <ns0:fill>
        <ns0:patternFill patternType="solid">
          <ns0:fgColor rgb="FFFFF2CC"/>
          <ns0:bgColor rgb="FF000000"/>
        </ns0:patternFill>
      </ns0:fill>
    </ns0:dxf>
    <ns0:dxf>
      <ns0:fill>
        <ns0:patternFill patternType="solid">
          <ns0:fgColor rgb="FF0563C1"/>
          <ns0:bgColor rgb="FF000000"/>
        </ns0:patternFill>
      </ns0:fill>
    </ns0:dxf>
    <ns0:dxf>
      <ns0:fill>
        <ns0:patternFill patternType="solid">
          <ns0:fgColor rgb="FF808080"/>
          <ns0:bgColor rgb="FF000000"/>
        </ns0:patternFill>
      </ns0:fill>
    </ns0:dxf>
  </ns0:dxfs>
  <ns0:colors>
    <ns0:indexedColors>
      <ns0:rgbColor rgb="FF000000"/>
      <ns0:rgbColor rgb="FFE7E6E6"/>
      <ns0:rgbColor rgb="FFFF0000"/>
      <ns0:rgbColor rgb="FF00FF00"/>
      <ns0:rgbColor rgb="FF0000FF"/>
      <ns0:rgbColor rgb="FFFFFF00"/>
      <ns0:rgbColor rgb="FFFF00FF"/>
      <ns0:rgbColor rgb="FF00FFFF"/>
      <ns0:rgbColor rgb="FF800000"/>
      <ns0:rgbColor rgb="FF008000"/>
      <ns0:rgbColor rgb="FF000080"/>
      <ns0:rgbColor rgb="FF808000"/>
      <ns0:rgbColor rgb="FF800080"/>
      <ns0:rgbColor rgb="FF008080"/>
      <ns0:rgbColor rgb="FFC0C0C0"/>
      <ns0:rgbColor rgb="FF808080"/>
      <ns0:rgbColor rgb="FF9999FF"/>
      <ns0:rgbColor rgb="FF993366"/>
      <ns0:rgbColor rgb="FFFFF2CC"/>
      <ns0:rgbColor rgb="FFCCFFFF"/>
      <ns0:rgbColor rgb="FF660066"/>
      <ns0:rgbColor rgb="FFFF8080"/>
      <ns0:rgbColor rgb="FF0563C1"/>
      <ns0:rgbColor rgb="FFCCCCFF"/>
      <ns0:rgbColor rgb="FF000080"/>
      <ns0:rgbColor rgb="FFFF00FF"/>
      <ns0:rgbColor rgb="FFFFFF00"/>
      <ns0:rgbColor rgb="FF00FFFF"/>
      <ns0:rgbColor rgb="FF800080"/>
      <ns0:rgbColor rgb="FF800000"/>
      <ns0:rgbColor rgb="FF008080"/>
      <ns0:rgbColor rgb="FF0000FF"/>
      <ns0:rgbColor rgb="FF00CCFF"/>
      <ns0:rgbColor rgb="FFCCFFFF"/>
      <ns0:rgbColor rgb="FFCCFFCC"/>
      <ns0:rgbColor rgb="FFFFFF99"/>
      <ns0:rgbColor rgb="FF99CCFF"/>
      <ns0:rgbColor rgb="FFFF99CC"/>
      <ns0:rgbColor rgb="FFCC99FF"/>
      <ns0:rgbColor rgb="FFFFCC99"/>
      <ns0:rgbColor rgb="FF3366FF"/>
      <ns0:rgbColor rgb="FF33CCCC"/>
      <ns0:rgbColor rgb="FF99CC00"/>
      <ns0:rgbColor rgb="FFFFCC00"/>
      <ns0:rgbColor rgb="FFFF9900"/>
      <ns0:rgbColor rgb="FFFF6600"/>
      <ns0:rgbColor rgb="FF666699"/>
      <ns0:rgbColor rgb="FF969696"/>
      <ns0:rgbColor rgb="FF003366"/>
      <ns0:rgbColor rgb="FF339966"/>
      <ns0:rgbColor rgb="FF003300"/>
      <ns0:rgbColor rgb="FF333300"/>
      <ns0:rgbColor rgb="FF993300"/>
      <ns0:rgbColor rgb="FF993366"/>
      <ns0:rgbColor rgb="FF333399"/>
      <ns0:rgbColor rgb="FF333333"/>
    </ns0:indexedColors>
  </ns0:colors>
</ns0: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worksheet" Target="worksheets/sheet1.xml" /><ns0:Relationship Id="rId4" Type="http://schemas.openxmlformats.org/officeDocument/2006/relationships/worksheet" Target="worksheets/sheet2.xml" /><ns0:Relationship Id="rId5" Type="http://schemas.openxmlformats.org/officeDocument/2006/relationships/sharedStrings" Target="sharedStrings.xml" />
</ns0:Relationships>
</file>

<file path=xl/drawings/drawing1.xml><?xml version="1.0" encoding="utf-8"?>
<ns0:wsDr xmlns:ns0="http://schemas.openxmlformats.org/drawingml/2006/spreadsheetDrawing"/>
</file>

<file path=xl/theme/theme1.xml><?xml version="1.0" encoding="utf-8"?>
<ns0:theme xmlns:ns0="http://schemas.openxmlformats.org/drawingml/2006/main" name="Office Theme">
  <ns0:themeElements>
    <ns0:clrScheme name="Office">
      <ns0:dk1>
        <ns0:srgbClr val="000000"/>
      </ns0:dk1>
      <ns0:lt1>
        <ns0:srgbClr val="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pitchFamily="0" charset="1"/>
        <ns0:ea typeface=""/>
        <ns0:cs typeface=""/>
      </ns0:majorFont>
      <ns0:minorFont>
        <ns0:latin typeface="Calibri" pitchFamily="0" charset="1"/>
        <ns0:ea typeface=""/>
        <ns0:cs typeface=""/>
      </ns0:minorFont>
    </ns0:fontScheme>
    <ns0:fmtScheme>
      <ns0:fillStyleLst>
        <ns0:solidFill>
          <ns0:schemeClr val="phClr"/>
        </ns0:solidFill>
        <ns0:gradFill>
          <ns0:gsLst>
            <ns0:gs pos="0">
              <ns0:schemeClr val="phClr">
                <ns0:tint val="50000"/>
              </ns0:schemeClr>
            </ns0:gs>
            <ns0:gs pos="35000">
              <ns0:schemeClr val="phClr">
                <ns0:tint val="37000"/>
              </ns0:schemeClr>
            </ns0:gs>
            <ns0:gs pos="100000">
              <ns0:schemeClr val="phClr">
                <ns0:tint val="15000"/>
              </ns0:schemeClr>
            </ns0:gs>
          </ns0:gsLst>
          <ns0:lin ang="16200000" scaled="1"/>
          <ns0:tileRect l="0" t="0" r="0" b="0"/>
        </ns0:gradFill>
        <ns0:gradFill>
          <ns0:gsLst>
            <ns0:gs pos="0">
              <ns0:schemeClr val="phClr">
                <ns0:shade val="51000"/>
              </ns0:schemeClr>
            </ns0:gs>
            <ns0:gs pos="80000">
              <ns0:schemeClr val="phClr">
                <ns0:shade val="93000"/>
              </ns0:schemeClr>
            </ns0:gs>
            <ns0:gs pos="100000">
              <ns0:schemeClr val="phClr">
                <ns0:shade val="94000"/>
              </ns0:schemeClr>
            </ns0:gs>
          </ns0:gsLst>
          <ns0:lin ang="16200000" scaled="0"/>
          <ns0:tileRect l="0" t="0" r="0" b="0"/>
        </ns0:gradFill>
      </ns0:fillStyleLst>
      <ns0:lnStyleLst>
        <ns0:ln w="9525" cap="flat" cmpd="sng" algn="ctr">
          <ns0:prstDash val="solid"/>
        </ns0:ln>
        <ns0:ln w="25400" cap="flat" cmpd="sng" algn="ctr">
          <ns0:prstDash val="solid"/>
        </ns0:ln>
        <ns0:ln w="38100" cap="flat" cmpd="sng" algn="ctr">
          <ns0:prstDash val="solid"/>
        </ns0:ln>
      </ns0:lnStyleLst>
      <ns0:effectStyleLst>
        <ns0:effectStyle>
          <ns0:effectLst/>
        </ns0:effectStyle>
        <ns0:effectStyle>
          <ns0:effectLst/>
        </ns0:effectStyle>
        <ns0:effectStyle>
          <ns0:effectLst/>
        </ns0:effectStyle>
      </ns0:effectStyleLst>
      <ns0:bgFillStyleLst>
        <ns0:solidFill>
          <ns0:schemeClr val="phClr"/>
        </ns0:solidFill>
        <ns0:gradFill>
          <ns0:gsLst>
            <ns0:gs pos="0">
              <ns0:schemeClr val="phClr">
                <ns0:tint val="40000"/>
              </ns0:schemeClr>
            </ns0:gs>
            <ns0:gs pos="40000">
              <ns0:schemeClr val="phClr">
                <ns0:tint val="45000"/>
                <ns0:shade val="99000"/>
              </ns0:schemeClr>
            </ns0:gs>
            <ns0:gs pos="100000">
              <ns0:schemeClr val="phClr">
                <ns0:shade val="20000"/>
              </ns0:schemeClr>
            </ns0:gs>
          </ns0:gsLst>
          <ns0:path path="circle">
            <ns0:fillToRect l="50000" t="-80000" r="50000" b="180000"/>
          </ns0:path>
          <ns0:tileRect l="0" t="0" r="0" b="0"/>
        </ns0:gradFill>
        <ns0:gradFill>
          <ns0:gsLst>
            <ns0:gs pos="0">
              <ns0:schemeClr val="phClr">
                <ns0:tint val="80000"/>
              </ns0:schemeClr>
            </ns0:gs>
            <ns0:gs pos="100000">
              <ns0:schemeClr val="phClr">
                <ns0:shade val="30000"/>
              </ns0:schemeClr>
            </ns0:gs>
          </ns0:gsLst>
          <ns0:path path="circle">
            <ns0:fillToRect l="50000" t="50000" r="50000" b="50000"/>
          </ns0:path>
          <ns0:tileRect l="0" t="0" r="0" b="0"/>
        </ns0:gradFill>
      </ns0:bgFillStyleLst>
    </ns0:fmtScheme>
  </ns0:themeElements>
</ns0:theme>
</file>

<file path=xl/worksheets/_rels/sheet1.xml.rels><?xml version='1.0' encoding='utf-8'?>
<ns0:Relationships xmlns:ns0="http://schemas.openxmlformats.org/package/2006/relationships"><ns0:Relationship Id="rId1" Type="http://schemas.openxmlformats.org/officeDocument/2006/relationships/drawing" Target="../drawings/drawing1.xml" />
</ns0:Relationships>
</file>

<file path=xl/worksheets/sheet1.xml><?xml version="1.0" encoding="utf-8"?>
<ns0:worksheet xmlns:ns0="http://schemas.openxmlformats.org/spreadsheetml/2006/main" xmlns:ns1="http://schemas.openxmlformats.org/officeDocument/2006/relationships">
  <ns0:sheetPr filterMode="false">
    <ns0:pageSetUpPr fitToPage="true"/>
  </ns0:sheetPr>
  <ns0:dimension ref="A1:Q132"/>
  <ns0:sheetViews>
    <ns0:sheetView showFormulas="false" showGridLines="true" showRowColHeaders="true" showZeros="true" rightToLeft="false" tabSelected="true" showOutlineSymbols="true" defaultGridColor="true" view="normal" topLeftCell="A1" colorId="64" zoomScale="100" zoomScaleNormal="100" zoomScalePageLayoutView="100" workbookViewId="0">
      <ns0:pane xSplit="3" ySplit="1" topLeftCell="D2" activePane="bottomRight" state="frozen"/>
      <ns0:selection pane="topLeft" activeCell="A1" activeCellId="0" sqref="A1"/>
      <ns0:selection pane="topRight" activeCell="D1" activeCellId="0" sqref="D1"/>
      <ns0:selection pane="bottomLeft" activeCell="A2" activeCellId="0" sqref="A2"/>
      <ns0:selection pane="bottomRight" activeCell="D2" activeCellId="0" sqref="D2"/>
    </ns0:sheetView>
  </ns0:sheetViews>
  <ns0:sheetFormatPr defaultColWidth="8.6796875" defaultRowHeight="15" zeroHeight="false" outlineLevelRow="0" outlineLevelCol="0"/>
  <ns0:cols>
    <ns0:col collapsed="false" customWidth="true" hidden="false" outlineLevel="0" max="1" min="1" style="0" width="5"/>
    <ns0:col collapsed="false" customWidth="true" hidden="false" outlineLevel="0" max="2" min="2" style="0" width="14"/>
    <ns0:col collapsed="false" customWidth="true" hidden="false" outlineLevel="0" max="3" min="3" style="0" width="26"/>
    <ns0:col collapsed="false" customWidth="true" hidden="false" outlineLevel="0" max="4" min="4" style="0" width="14"/>
    <ns0:col collapsed="false" customWidth="true" hidden="false" outlineLevel="0" max="5" min="5" style="0" width="7"/>
    <ns0:col collapsed="false" customWidth="true" hidden="false" outlineLevel="0" max="6" min="6" style="0" width="13"/>
    <ns0:col collapsed="false" customWidth="true" hidden="false" outlineLevel="0" max="7" min="7" style="0" width="34"/>
    <ns0:col collapsed="false" customWidth="true" hidden="false" outlineLevel="0" max="8" min="8" style="0" width="14"/>
    <ns0:col collapsed="false" customWidth="true" hidden="false" outlineLevel="0" max="9" min="9" style="0" width="12"/>
    <ns0:col collapsed="false" customWidth="true" hidden="false" outlineLevel="0" max="10" min="10" style="0" width="14"/>
    <ns0:col collapsed="false" customWidth="true" hidden="false" outlineLevel="0" max="11" min="11" style="0" width="12"/>
    <ns0:col collapsed="false" customWidth="true" hidden="false" outlineLevel="0" max="12" min="12" style="0" width="24"/>
    <ns0:col collapsed="false" customWidth="true" hidden="false" outlineLevel="0" max="13" min="13" style="0" width="70"/>
    <ns0:col collapsed="false" customWidth="true" hidden="false" outlineLevel="0" max="15" min="14" style="0" width="20"/>
    <ns0:col collapsed="false" customWidth="true" hidden="false" outlineLevel="0" max="16" min="16" style="0" width="44"/>
    <ns0:col collapsed="false" customWidth="true" hidden="false" outlineLevel="0" max="17" min="17" style="0" width="22"/>
  </ns0:cols>
  <ns0:sheetData>
    <ns0:row r="1" customFormat="false" ht="28.35" hidden="false" customHeight="false" outlineLevel="0" collapsed="false">
      <ns0:c r="A1" s="1" t="s">
        <ns0:v>0</ns0:v>
      </ns0:c>
      <ns0:c r="B1" s="1" t="s">
        <ns0:v>1</ns0:v>
      </ns0:c>
      <ns0:c r="C1" s="1" t="s">
        <ns0:v>2</ns0:v>
      </ns0:c>
      <ns0:c r="D1" s="1" t="s">
        <ns0:v>3</ns0:v>
      </ns0:c>
      <ns0:c r="E1" s="1" t="s">
        <ns0:v>4</ns0:v>
      </ns0:c>
      <ns0:c r="F1" s="1" t="s">
        <ns0:v>5</ns0:v>
      </ns0:c>
      <ns0:c r="G1" s="1" t="s">
        <ns0:v>6</ns0:v>
      </ns0:c>
      <ns0:c r="H1" s="1" t="s">
        <ns0:v>7</ns0:v>
      </ns0:c>
      <ns0:c r="I1" s="1" t="s">
        <ns0:v>8</ns0:v>
      </ns0:c>
      <ns0:c r="J1" s="1" t="s">
        <ns0:v>9</ns0:v>
      </ns0:c>
      <ns0:c r="K1" s="1" t="s">
        <ns0:v>10</ns0:v>
      </ns0:c>
      <ns0:c r="L1" s="1" t="s">
        <ns0:v>11</ns0:v>
      </ns0:c>
      <ns0:c r="M1" s="1" t="s">
        <ns0:v>12</ns0:v>
      </ns0:c>
      <ns0:c r="N1" s="1" t="s">
        <ns0:v>13</ns0:v>
      </ns0:c>
      <ns0:c r="O1" s="1" t="s">
        <ns0:v>14</ns0:v>
      </ns0:c>
      <ns0:c r="P1" s="1" t="s">
        <ns0:v>15</ns0:v>
      </ns0:c>
      <ns0:c r="Q1" s="1" t="s">
        <ns0:v>16</ns0:v>
      </ns0:c>
    </ns0:row>
    <ns0:row r="2" customFormat="false" ht="68.65" hidden="false" customHeight="false" outlineLevel="0" collapsed="false">
      <ns0:c r="A2" s="2" t="n">
        <ns0:v>1</ns0:v>
      </ns0:c>
      <ns0:c r="B2" s="3"/>
      <ns0:c r="C2" s="3"/>
      <ns0:c r="D2" s="2" t="s">
        <ns0:v>17</ns0:v>
      </ns0:c>
      <ns0:c r="E2" s="2" t="s">
        <ns0:v>18</ns0:v>
      </ns0:c>
      <ns0:c r="F2" s="4" t="s">
        <ns0:v>19</ns0:v>
      </ns0:c>
      <ns0:c r="G2" s="4" t="s">
        <ns0:v>20</ns0:v>
      </ns0:c>
      <ns0:c r="H2" s="4" t="s">
        <ns0:v>21</ns0:v>
      </ns0:c>
      <ns0:c r="I2" s="4" t="s">
        <ns0:v>22</ns0:v>
      </ns0:c>
      <ns0:c r="J2" s="4" t="s">
        <ns0:v>23</ns0:v>
      </ns0:c>
      <ns0:c r="K2" s="4" t="s">
        <ns0:v>24</ns0:v>
      </ns0:c>
      <ns0:c r="L2" s="5" t="str">
        <ns0:f aca="false">HYPERLINK("https://www.sec.gov/Archives/edgar/data/1326801/000162828026050705/meta-20260630.htm","10-Q filed 2026-07-30")</ns0:f>
        <ns0:v>10-Q filed 2026-07-30</ns0:v>
      </ns0:c>
      <ns0:c r="M2" s="4" t="s">
        <ns0:v>25</ns0:v>
      </ns0:c>
      <ns0:c r="N2" s="4" t="s">
        <ns0:v>26</ns0:v>
      </ns0:c>
      <ns0:c r="O2" s="4" t="s">
        <ns0:v>27</ns0:v>
      </ns0:c>
      <ns0:c r="P2" s="4"/>
      <ns0:c r="Q2" s="6" t="s">
        <ns0:v>28</ns0:v>
      </ns0:c>
    </ns0:row>
    <ns0:row r="3" customFormat="false" ht="82.05" hidden="false" customHeight="false" outlineLevel="0" collapsed="false">
      <ns0:c r="A3" s="2" t="n">
        <ns0:v>2</ns0:v>
      </ns0:c>
      <ns0:c r="B3" s="3"/>
      <ns0:c r="C3" s="3"/>
      <ns0:c r="D3" s="2" t="s">
        <ns0:v>17</ns0:v>
      </ns0:c>
      <ns0:c r="E3" s="2" t="s">
        <ns0:v>29</ns0:v>
      </ns0:c>
      <ns0:c r="F3" s="4" t="s">
        <ns0:v>30</ns0:v>
      </ns0:c>
      <ns0:c r="G3" s="4" t="s">
        <ns0:v>31</ns0:v>
      </ns0:c>
      <ns0:c r="H3" s="4" t="s">
        <ns0:v>32</ns0:v>
      </ns0:c>
      <ns0:c r="I3" s="4" t="s">
        <ns0:v>33</ns0:v>
      </ns0:c>
      <ns0:c r="J3" s="4" t="s">
        <ns0:v>34</ns0:v>
      </ns0:c>
      <ns0:c r="K3" s="4" t="s">
        <ns0:v>35</ns0:v>
      </ns0:c>
      <ns0:c r="L3" s="5" t="str">
        <ns0:f aca="false">HYPERLINK("https://www.sec.gov/Archives/edgar/data/1341439/000119312526389274/orcl-20260831.htm","10-Q filed 2026-09-11")</ns0:f>
        <ns0:v>10-Q filed 2026-09-11</ns0:v>
      </ns0:c>
      <ns0:c r="M3" s="4" t="s">
        <ns0:v>36</ns0:v>
      </ns0:c>
      <ns0:c r="N3" s="4" t="s">
        <ns0:v>37</ns0:v>
      </ns0:c>
      <ns0:c r="O3" s="4" t="s">
        <ns0:v>38</ns0:v>
      </ns0:c>
      <ns0:c r="P3" s="4"/>
      <ns0:c r="Q3" s="6" t="s">
        <ns0:v>39</ns0:v>
      </ns0:c>
    </ns0:row>
    <ns0:row r="4" customFormat="false" ht="95.5" hidden="false" customHeight="false" outlineLevel="0" collapsed="false">
      <ns0:c r="A4" s="2" t="n">
        <ns0:v>3</ns0:v>
      </ns0:c>
      <ns0:c r="B4" s="3"/>
      <ns0:c r="C4" s="3"/>
      <ns0:c r="D4" s="2" t="s">
        <ns0:v>17</ns0:v>
      </ns0:c>
      <ns0:c r="E4" s="2" t="s">
        <ns0:v>40</ns0:v>
      </ns0:c>
      <ns0:c r="F4" s="4" t="s">
        <ns0:v>19</ns0:v>
      </ns0:c>
      <ns0:c r="G4" s="4" t="s">
        <ns0:v>41</ns0:v>
      </ns0:c>
      <ns0:c r="H4" s="4" t="s">
        <ns0:v>42</ns0:v>
      </ns0:c>
      <ns0:c r="I4" s="4" t="s">
        <ns0:v>43</ns0:v>
      </ns0:c>
      <ns0:c r="J4" s="4" t="s">
        <ns0:v>44</ns0:v>
      </ns0:c>
      <ns0:c r="K4" s="4" t="s">
        <ns0:v>24</ns0:v>
      </ns0:c>
      <ns0:c r="L4" s="5" t="str">
        <ns0:f aca="false">HYPERLINK("https://www.sec.gov/Archives/edgar/data/1326801/000162828026050705/meta-20260630.htm","10-Q filed 2026-07-30")</ns0:f>
        <ns0:v>10-Q filed 2026-07-30</ns0:v>
      </ns0:c>
      <ns0:c r="M4" s="4" t="s">
        <ns0:v>45</ns0:v>
      </ns0:c>
      <ns0:c r="N4" s="4" t="s">
        <ns0:v>26</ns0:v>
      </ns0:c>
      <ns0:c r="O4" s="4" t="s">
        <ns0:v>38</ns0:v>
      </ns0:c>
      <ns0:c r="P4" s="4"/>
      <ns0:c r="Q4" s="6" t="s">
        <ns0:v>46</ns0:v>
      </ns0:c>
    </ns0:row>
    <ns0:row r="5" customFormat="false" ht="68.65" hidden="false" customHeight="false" outlineLevel="0" collapsed="false">
      <ns0:c r="A5" s="2" t="n">
        <ns0:v>4</ns0:v>
      </ns0:c>
      <ns0:c r="B5" s="3"/>
      <ns0:c r="C5" s="3"/>
      <ns0:c r="D5" s="2" t="s">
        <ns0:v>17</ns0:v>
      </ns0:c>
      <ns0:c r="E5" s="2" t="s">
        <ns0:v>47</ns0:v>
      </ns0:c>
      <ns0:c r="F5" s="4" t="s">
        <ns0:v>48</ns0:v>
      </ns0:c>
      <ns0:c r="G5" s="4" t="s">
        <ns0:v>49</ns0:v>
      </ns0:c>
      <ns0:c r="H5" s="4" t="s">
        <ns0:v>50</ns0:v>
      </ns0:c>
      <ns0:c r="I5" s="4" t="s">
        <ns0:v>51</ns0:v>
      </ns0:c>
      <ns0:c r="J5" s="4" t="s">
        <ns0:v>52</ns0:v>
      </ns0:c>
      <ns0:c r="K5" s="4" t="s">
        <ns0:v>24</ns0:v>
      </ns0:c>
      <ns0:c r="L5" s="5" t="str">
        <ns0:f aca="false">HYPERLINK("https://www.sec.gov/Archives/edgar/data/1018724/000101872426000026/amzn-20260630.htm","10-Q filed 2026-07-31")</ns0:f>
        <ns0:v>10-Q filed 2026-07-31</ns0:v>
      </ns0:c>
      <ns0:c r="M5" s="4" t="s">
        <ns0:v>53</ns0:v>
      </ns0:c>
      <ns0:c r="N5" s="4" t="s">
        <ns0:v>26</ns0:v>
      </ns0:c>
      <ns0:c r="O5" s="4" t="s">
        <ns0:v>38</ns0:v>
      </ns0:c>
      <ns0:c r="P5" s="4"/>
      <ns0:c r="Q5" s="6" t="s">
        <ns0:v>54</ns0:v>
      </ns0:c>
    </ns0:row>
    <ns0:row r="6" customFormat="false" ht="68.65" hidden="false" customHeight="false" outlineLevel="0" collapsed="false">
      <ns0:c r="A6" s="2" t="n">
        <ns0:v>5</ns0:v>
      </ns0:c>
      <ns0:c r="B6" s="3"/>
      <ns0:c r="C6" s="3"/>
      <ns0:c r="D6" s="2" t="s">
        <ns0:v>17</ns0:v>
      </ns0:c>
      <ns0:c r="E6" s="2" t="s">
        <ns0:v>55</ns0:v>
      </ns0:c>
      <ns0:c r="F6" s="4" t="s">
        <ns0:v>48</ns0:v>
      </ns0:c>
      <ns0:c r="G6" s="4" t="s">
        <ns0:v>56</ns0:v>
      </ns0:c>
      <ns0:c r="H6" s="4" t="s">
        <ns0:v>57</ns0:v>
      </ns0:c>
      <ns0:c r="I6" s="4" t="s">
        <ns0:v>51</ns0:v>
      </ns0:c>
      <ns0:c r="J6" s="4" t="s">
        <ns0:v>58</ns0:v>
      </ns0:c>
      <ns0:c r="K6" s="4" t="s">
        <ns0:v>24</ns0:v>
      </ns0:c>
      <ns0:c r="L6" s="5" t="str">
        <ns0:f aca="false">HYPERLINK("https://www.sec.gov/Archives/edgar/data/1018724/000101872426000026/amzn-20260630.htm","10-Q filed 2026-07-31")</ns0:f>
        <ns0:v>10-Q filed 2026-07-31</ns0:v>
      </ns0:c>
      <ns0:c r="M6" s="4" t="s">
        <ns0:v>59</ns0:v>
      </ns0:c>
      <ns0:c r="N6" s="4" t="s">
        <ns0:v>26</ns0:v>
      </ns0:c>
      <ns0:c r="O6" s="4" t="s">
        <ns0:v>38</ns0:v>
      </ns0:c>
      <ns0:c r="P6" s="4"/>
      <ns0:c r="Q6" s="6" t="s">
        <ns0:v>60</ns0:v>
      </ns0:c>
    </ns0:row>
    <ns0:row r="7" customFormat="false" ht="82.05" hidden="false" customHeight="false" outlineLevel="0" collapsed="false">
      <ns0:c r="A7" s="2" t="n">
        <ns0:v>6</ns0:v>
      </ns0:c>
      <ns0:c r="B7" s="3"/>
      <ns0:c r="C7" s="3"/>
      <ns0:c r="D7" s="2" t="s">
        <ns0:v>17</ns0:v>
      </ns0:c>
      <ns0:c r="E7" s="2" t="s">
        <ns0:v>61</ns0:v>
      </ns0:c>
      <ns0:c r="F7" s="4" t="s">
        <ns0:v>62</ns0:v>
      </ns0:c>
      <ns0:c r="G7" s="4" t="s">
        <ns0:v>63</ns0:v>
      </ns0:c>
      <ns0:c r="H7" s="4" t="s">
        <ns0:v>64</ns0:v>
      </ns0:c>
      <ns0:c r="I7" s="4" t="s">
        <ns0:v>43</ns0:v>
      </ns0:c>
      <ns0:c r="J7" s="4" t="s">
        <ns0:v>65</ns0:v>
      </ns0:c>
      <ns0:c r="K7" s="4" t="s">
        <ns0:v>24</ns0:v>
      </ns0:c>
      <ns0:c r="L7" s="5" t="str">
        <ns0:f aca="false">HYPERLINK("https://www.sec.gov/Archives/edgar/data/1652044/000165204426000071/goog-20260630.htm","10-Q filed 2026-07-23")</ns0:f>
        <ns0:v>10-Q filed 2026-07-23</ns0:v>
      </ns0:c>
      <ns0:c r="M7" s="4" t="s">
        <ns0:v>66</ns0:v>
      </ns0:c>
      <ns0:c r="N7" s="4" t="s">
        <ns0:v>26</ns0:v>
      </ns0:c>
      <ns0:c r="O7" s="4" t="s">
        <ns0:v>38</ns0:v>
      </ns0:c>
      <ns0:c r="P7" s="4"/>
      <ns0:c r="Q7" s="6" t="s">
        <ns0:v>67</ns0:v>
      </ns0:c>
    </ns0:row>
    <ns0:row r="8" customFormat="false" ht="55.2" hidden="false" customHeight="false" outlineLevel="0" collapsed="false">
      <ns0:c r="A8" s="2" t="n">
        <ns0:v>7</ns0:v>
      </ns0:c>
      <ns0:c r="B8" s="3"/>
      <ns0:c r="C8" s="3"/>
      <ns0:c r="D8" s="2" t="s">
        <ns0:v>17</ns0:v>
      </ns0:c>
      <ns0:c r="E8" s="2" t="s">
        <ns0:v>68</ns0:v>
      </ns0:c>
      <ns0:c r="F8" s="4" t="s">
        <ns0:v>30</ns0:v>
      </ns0:c>
      <ns0:c r="G8" s="4" t="s">
        <ns0:v>69</ns0:v>
      </ns0:c>
      <ns0:c r="H8" s="4" t="s">
        <ns0:v>70</ns0:v>
      </ns0:c>
      <ns0:c r="I8" s="4" t="s">
        <ns0:v>33</ns0:v>
      </ns0:c>
      <ns0:c r="J8" s="4" t="s">
        <ns0:v>71</ns0:v>
      </ns0:c>
      <ns0:c r="K8" s="4" t="s">
        <ns0:v>35</ns0:v>
      </ns0:c>
      <ns0:c r="L8" s="5" t="str">
        <ns0:f aca="false">HYPERLINK("https://www.sec.gov/Archives/edgar/data/1341439/000119312526389274/orcl-20260831.htm","10-Q filed 2026-09-11")</ns0:f>
        <ns0:v>10-Q filed 2026-09-11</ns0:v>
      </ns0:c>
      <ns0:c r="M8" s="4" t="s">
        <ns0:v>72</ns0:v>
      </ns0:c>
      <ns0:c r="N8" s="4" t="s">
        <ns0:v>37</ns0:v>
      </ns0:c>
      <ns0:c r="O8" s="4" t="s">
        <ns0:v>38</ns0:v>
      </ns0:c>
      <ns0:c r="P8" s="4" t="s">
        <ns0:v>73</ns0:v>
      </ns0:c>
      <ns0:c r="Q8" s="6" t="s">
        <ns0:v>74</ns0:v>
      </ns0:c>
    </ns0:row>
    <ns0:row r="9" customFormat="false" ht="41.75" hidden="false" customHeight="false" outlineLevel="0" collapsed="false">
      <ns0:c r="A9" s="2" t="n">
        <ns0:v>8</ns0:v>
      </ns0:c>
      <ns0:c r="B9" s="3" t="s">
        <ns0:v>75</ns0:v>
      </ns0:c>
      <ns0:c r="C9" s="3"/>
      <ns0:c r="D9" s="2" t="s">
        <ns0:v>17</ns0:v>
      </ns0:c>
      <ns0:c r="E9" s="2" t="s">
        <ns0:v>76</ns0:v>
      </ns0:c>
      <ns0:c r="F9" s="4" t="s">
        <ns0:v>77</ns0:v>
      </ns0:c>
      <ns0:c r="G9" s="4" t="s">
        <ns0:v>78</ns0:v>
      </ns0:c>
      <ns0:c r="H9" s="4" t="s">
        <ns0:v>79</ns0:v>
      </ns0:c>
      <ns0:c r="I9" s="4" t="s">
        <ns0:v>43</ns0:v>
      </ns0:c>
      <ns0:c r="J9" s="4" t="s">
        <ns0:v>80</ns0:v>
      </ns0:c>
      <ns0:c r="K9" s="4" t="s">
        <ns0:v>24</ns0:v>
      </ns0:c>
      <ns0:c r="L9" s="5" t="str">
        <ns0:f aca="false">HYPERLINK("https://www.sec.gov/Archives/edgar/data/1769628/000176962826000366/crwv-20260630.htm","10-Q filed 2026-08-12")</ns0:f>
        <ns0:v>10-Q filed 2026-08-12</ns0:v>
      </ns0:c>
      <ns0:c r="M9" s="4" t="s">
        <ns0:v>81</ns0:v>
      </ns0:c>
      <ns0:c r="N9" s="4" t="s">
        <ns0:v>82</ns0:v>
      </ns0:c>
      <ns0:c r="O9" s="4" t="s">
        <ns0:v>83</ns0:v>
      </ns0:c>
      <ns0:c r="P9" s="4"/>
      <ns0:c r="Q9" s="6" t="s">
        <ns0:v>84</ns0:v>
      </ns0:c>
    </ns0:row>
    <ns0:row r="10" customFormat="false" ht="28.35" hidden="false" customHeight="false" outlineLevel="0" collapsed="false">
      <ns0:c r="A10" s="2" t="n">
        <ns0:v>9</ns0:v>
      </ns0:c>
      <ns0:c r="B10" s="3" t="s">
        <ns0:v>85</ns0:v>
      </ns0:c>
      <ns0:c r="C10" s="3" t="s">
        <ns0:v>86</ns0:v>
      </ns0:c>
      <ns0:c r="D10" s="2" t="s">
        <ns0:v>87</ns0:v>
      </ns0:c>
      <ns0:c r="E10" s="2" t="s">
        <ns0:v>88</ns0:v>
      </ns0:c>
      <ns0:c r="F10" s="4" t="s">
        <ns0:v>30</ns0:v>
      </ns0:c>
      <ns0:c r="G10" s="4" t="s">
        <ns0:v>89</ns0:v>
      </ns0:c>
      <ns0:c r="H10" s="4" t="s">
        <ns0:v>90</ns0:v>
      </ns0:c>
      <ns0:c r="I10" s="4" t="s">
        <ns0:v>91</ns0:v>
      </ns0:c>
      <ns0:c r="J10" s="4" t="s">
        <ns0:v>92</ns0:v>
      </ns0:c>
      <ns0:c r="K10" s="4" t="s">
        <ns0:v>93</ns0:v>
      </ns0:c>
      <ns0:c r="L10" s="5" t="str">
        <ns0:f aca="false">HYPERLINK("https://www.sec.gov/Archives/edgar/data/1341439/000119312526389274/","10-Q filed 2026-09-11")</ns0:f>
        <ns0:v>10-Q filed 2026-09-11</ns0:v>
      </ns0:c>
      <ns0:c r="M10" s="4" t="s">
        <ns0:v>94</ns0:v>
      </ns0:c>
      <ns0:c r="N10" s="4" t="s">
        <ns0:v>95</ns0:v>
      </ns0:c>
      <ns0:c r="O10" s="4" t="s">
        <ns0:v>96</ns0:v>
      </ns0:c>
      <ns0:c r="P10" s="4" t="s">
        <ns0:v>97</ns0:v>
      </ns0:c>
      <ns0:c r="Q10" s="6" t="s">
        <ns0:v>98</ns0:v>
      </ns0:c>
    </ns0:row>
    <ns0:row r="11" customFormat="false" ht="55.2" hidden="false" customHeight="false" outlineLevel="0" collapsed="false">
      <ns0:c r="A11" s="2" t="n">
        <ns0:v>10</ns0:v>
      </ns0:c>
      <ns0:c r="B11" s="3"/>
      <ns0:c r="C11" s="3"/>
      <ns0:c r="D11" s="2" t="s">
        <ns0:v>87</ns0:v>
      </ns0:c>
      <ns0:c r="E11" s="2" t="s">
        <ns0:v>99</ns0:v>
      </ns0:c>
      <ns0:c r="F11" s="4" t="s">
        <ns0:v>19</ns0:v>
      </ns0:c>
      <ns0:c r="G11" s="4" t="s">
        <ns0:v>100</ns0:v>
      </ns0:c>
      <ns0:c r="H11" s="4" t="s">
        <ns0:v>21</ns0:v>
      </ns0:c>
      <ns0:c r="I11" s="4" t="s">
        <ns0:v>101</ns0:v>
      </ns0:c>
      <ns0:c r="J11" s="4" t="s">
        <ns0:v>102</ns0:v>
      </ns0:c>
      <ns0:c r="K11" s="4" t="s">
        <ns0:v>101</ns0:v>
      </ns0:c>
      <ns0:c r="L11" s="5" t="str">
        <ns0:f aca="false">HYPERLINK("https://www.sec.gov/Archives/edgar/data/1326801/000162828026050705/","10-Q filed 2026-07-30")</ns0:f>
        <ns0:v>10-Q filed 2026-07-30</ns0:v>
      </ns0:c>
      <ns0:c r="M11" s="4" t="s">
        <ns0:v>94</ns0:v>
      </ns0:c>
      <ns0:c r="N11" s="4" t="s">
        <ns0:v>95</ns0:v>
      </ns0:c>
      <ns0:c r="O11" s="4" t="s">
        <ns0:v>103</ns0:v>
      </ns0:c>
      <ns0:c r="P11" s="4" t="s">
        <ns0:v>104</ns0:v>
      </ns0:c>
      <ns0:c r="Q11" s="6" t="s">
        <ns0:v>105</ns0:v>
      </ns0:c>
    </ns0:row>
    <ns0:row r="12" customFormat="false" ht="41.75" hidden="false" customHeight="false" outlineLevel="0" collapsed="false">
      <ns0:c r="A12" s="2" t="n">
        <ns0:v>11</ns0:v>
      </ns0:c>
      <ns0:c r="B12" s="3"/>
      <ns0:c r="C12" s="3"/>
      <ns0:c r="D12" s="2" t="s">
        <ns0:v>87</ns0:v>
      </ns0:c>
      <ns0:c r="E12" s="2" t="s">
        <ns0:v>40</ns0:v>
      </ns0:c>
      <ns0:c r="F12" s="4" t="s">
        <ns0:v>19</ns0:v>
      </ns0:c>
      <ns0:c r="G12" s="4" t="s">
        <ns0:v>41</ns0:v>
      </ns0:c>
      <ns0:c r="H12" s="4" t="s">
        <ns0:v>42</ns0:v>
      </ns0:c>
      <ns0:c r="I12" s="4" t="s">
        <ns0:v>106</ns0:v>
      </ns0:c>
      <ns0:c r="J12" s="4" t="s">
        <ns0:v>44</ns0:v>
      </ns0:c>
      <ns0:c r="K12" s="4" t="s">
        <ns0:v>101</ns0:v>
      </ns0:c>
      <ns0:c r="L12" s="5" t="str">
        <ns0:f aca="false">HYPERLINK("https://www.sec.gov/Archives/edgar/data/1326801/000162828026050705/","10-Q filed 2026-07-30")</ns0:f>
        <ns0:v>10-Q filed 2026-07-30</ns0:v>
      </ns0:c>
      <ns0:c r="M12" s="4" t="s">
        <ns0:v>94</ns0:v>
      </ns0:c>
      <ns0:c r="N12" s="4" t="s">
        <ns0:v>95</ns0:v>
      </ns0:c>
      <ns0:c r="O12" s="4" t="s">
        <ns0:v>38</ns0:v>
      </ns0:c>
      <ns0:c r="P12" s="4" t="s">
        <ns0:v>107</ns0:v>
      </ns0:c>
      <ns0:c r="Q12" s="6" t="s">
        <ns0:v>108</ns0:v>
      </ns0:c>
    </ns0:row>
    <ns0:row r="13" customFormat="false" ht="41.75" hidden="false" customHeight="false" outlineLevel="0" collapsed="false">
      <ns0:c r="A13" s="2" t="n">
        <ns0:v>12</ns0:v>
      </ns0:c>
      <ns0:c r="B13" s="3"/>
      <ns0:c r="C13" s="3"/>
      <ns0:c r="D13" s="2" t="s">
        <ns0:v>109</ns0:v>
      </ns0:c>
      <ns0:c r="E13" s="2" t="s">
        <ns0:v>76</ns0:v>
      </ns0:c>
      <ns0:c r="F13" s="4" t="s">
        <ns0:v>77</ns0:v>
      </ns0:c>
      <ns0:c r="G13" s="4" t="s">
        <ns0:v>110</ns0:v>
      </ns0:c>
      <ns0:c r="H13" s="4" t="s">
        <ns0:v>111</ns0:v>
      </ns0:c>
      <ns0:c r="I13" s="4"/>
      <ns0:c r="J13" s="4" t="s">
        <ns0:v>112</ns0:v>
      </ns0:c>
      <ns0:c r="K13" s="4"/>
      <ns0:c r="L13" s="5"/>
      <ns0:c r="M13" s="4" t="s">
        <ns0:v>113</ns0:v>
      </ns0:c>
      <ns0:c r="N13" s="4" t="s">
        <ns0:v>82</ns0:v>
      </ns0:c>
      <ns0:c r="O13" s="4" t="s">
        <ns0:v>83</ns0:v>
      </ns0:c>
      <ns0:c r="P13" s="4"/>
      <ns0:c r="Q13" s="6" t="s">
        <ns0:v>114</ns0:v>
      </ns0:c>
    </ns0:row>
    <ns0:row r="14" customFormat="false" ht="122.35" hidden="false" customHeight="false" outlineLevel="0" collapsed="false">
      <ns0:c r="A14" s="2" t="n">
        <ns0:v>13</ns0:v>
      </ns0:c>
      <ns0:c r="B14" s="3" t="s">
        <ns0:v>115</ns0:v>
      </ns0:c>
      <ns0:c r="C14" s="3"/>
      <ns0:c r="D14" s="2" t="s">
        <ns0:v>116</ns0:v>
      </ns0:c>
      <ns0:c r="E14" s="2" t="s">
        <ns0:v>117</ns0:v>
      </ns0:c>
      <ns0:c r="F14" s="4" t="s">
        <ns0:v>62</ns0:v>
      </ns0:c>
      <ns0:c r="G14" s="4" t="s">
        <ns0:v>118</ns0:v>
      </ns0:c>
      <ns0:c r="H14" s="4"/>
      <ns0:c r="I14" s="4"/>
      <ns0:c r="J14" s="4"/>
      <ns0:c r="K14" s="4"/>
      <ns0:c r="L14" s="5" t="str">
        <ns0:f aca="false">HYPERLINK("https://www.sec.gov/Archives/edgar/data/1652044/000165204426000071/goog-20260630.htm","10-Q filed 2026-07-23")</ns0:f>
        <ns0:v>10-Q filed 2026-07-23</ns0:v>
      </ns0:c>
      <ns0:c r="M14" s="4" t="s">
        <ns0:v>119</ns0:v>
      </ns0:c>
      <ns0:c r="N14" s="4" t="s">
        <ns0:v>120</ns0:v>
      </ns0:c>
      <ns0:c r="O14" s="4" t="s">
        <ns0:v>38</ns0:v>
      </ns0:c>
      <ns0:c r="P14" s="4" t="s">
        <ns0:v>121</ns0:v>
      </ns0:c>
      <ns0:c r="Q14" s="6" t="s">
        <ns0:v>122</ns0:v>
      </ns0:c>
    </ns0:row>
    <ns0:row r="15" customFormat="false" ht="82.05" hidden="false" customHeight="false" outlineLevel="0" collapsed="false">
      <ns0:c r="A15" s="2" t="n">
        <ns0:v>14</ns0:v>
      </ns0:c>
      <ns0:c r="B15" s="3" t="s">
        <ns0:v>123</ns0:v>
      </ns0:c>
      <ns0:c r="C15" s="3"/>
      <ns0:c r="D15" s="2" t="s">
        <ns0:v>116</ns0:v>
      </ns0:c>
      <ns0:c r="E15" s="2" t="s">
        <ns0:v>124</ns0:v>
      </ns0:c>
      <ns0:c r="F15" s="4" t="s">
        <ns0:v>62</ns0:v>
      </ns0:c>
      <ns0:c r="G15" s="4" t="s">
        <ns0:v>125</ns0:v>
      </ns0:c>
      <ns0:c r="H15" s="4"/>
      <ns0:c r="I15" s="4"/>
      <ns0:c r="J15" s="4"/>
      <ns0:c r="K15" s="4"/>
      <ns0:c r="L15" s="5" t="str">
        <ns0:f aca="false">HYPERLINK("https://www.sec.gov/Archives/edgar/data/1652044/000165204426000071/goog-20260630.htm","10-Q filed 2026-07-23")</ns0:f>
        <ns0:v>10-Q filed 2026-07-23</ns0:v>
      </ns0:c>
      <ns0:c r="M15" s="4" t="s">
        <ns0:v>126</ns0:v>
      </ns0:c>
      <ns0:c r="N15" s="4" t="s">
        <ns0:v>120</ns0:v>
      </ns0:c>
      <ns0:c r="O15" s="4" t="s">
        <ns0:v>83</ns0:v>
      </ns0:c>
      <ns0:c r="P15" s="4" t="s">
        <ns0:v>127</ns0:v>
      </ns0:c>
      <ns0:c r="Q15" s="6" t="s">
        <ns0:v>128</ns0:v>
      </ns0:c>
    </ns0:row>
    <ns0:row r="16" customFormat="false" ht="82.05" hidden="false" customHeight="false" outlineLevel="0" collapsed="false">
      <ns0:c r="A16" s="2" t="n">
        <ns0:v>15</ns0:v>
      </ns0:c>
      <ns0:c r="B16" s="3" t="s">
        <ns0:v>129</ns0:v>
      </ns0:c>
      <ns0:c r="C16" s="3"/>
      <ns0:c r="D16" s="2" t="s">
        <ns0:v>116</ns0:v>
      </ns0:c>
      <ns0:c r="E16" s="2" t="s">
        <ns0:v>117</ns0:v>
      </ns0:c>
      <ns0:c r="F16" s="4" t="s">
        <ns0:v>62</ns0:v>
      </ns0:c>
      <ns0:c r="G16" s="4" t="s">
        <ns0:v>130</ns0:v>
      </ns0:c>
      <ns0:c r="H16" s="4"/>
      <ns0:c r="I16" s="4"/>
      <ns0:c r="J16" s="4"/>
      <ns0:c r="K16" s="4"/>
      <ns0:c r="L16" s="5" t="str">
        <ns0:f aca="false">HYPERLINK("https://www.sec.gov/Archives/edgar/data/1652044/000165204426000071/goog-20260630.htm","10-Q filed 2026-07-23")</ns0:f>
        <ns0:v>10-Q filed 2026-07-23</ns0:v>
      </ns0:c>
      <ns0:c r="M16" s="4" t="s">
        <ns0:v>131</ns0:v>
      </ns0:c>
      <ns0:c r="N16" s="4" t="s">
        <ns0:v>120</ns0:v>
      </ns0:c>
      <ns0:c r="O16" s="4" t="s">
        <ns0:v>38</ns0:v>
      </ns0:c>
      <ns0:c r="P16" s="4" t="s">
        <ns0:v>132</ns0:v>
      </ns0:c>
      <ns0:c r="Q16" s="6" t="s">
        <ns0:v>133</ns0:v>
      </ns0:c>
    </ns0:row>
    <ns0:row r="17" customFormat="false" ht="82.05" hidden="false" customHeight="false" outlineLevel="0" collapsed="false">
      <ns0:c r="A17" s="2" t="n">
        <ns0:v>16</ns0:v>
      </ns0:c>
      <ns0:c r="B17" s="3"/>
      <ns0:c r="C17" s="3"/>
      <ns0:c r="D17" s="2" t="s">
        <ns0:v>116</ns0:v>
      </ns0:c>
      <ns0:c r="E17" s="2" t="s">
        <ns0:v>61</ns0:v>
      </ns0:c>
      <ns0:c r="F17" s="4" t="s">
        <ns0:v>62</ns0:v>
      </ns0:c>
      <ns0:c r="G17" s="4" t="s">
        <ns0:v>134</ns0:v>
      </ns0:c>
      <ns0:c r="H17" s="4"/>
      <ns0:c r="I17" s="4"/>
      <ns0:c r="J17" s="4"/>
      <ns0:c r="K17" s="4"/>
      <ns0:c r="L17" s="5" t="str">
        <ns0:f aca="false">HYPERLINK("https://www.sec.gov/Archives/edgar/data/1652044/000165204426000071/goog-20260630.htm","10-Q filed 2026-07-23")</ns0:f>
        <ns0:v>10-Q filed 2026-07-23</ns0:v>
      </ns0:c>
      <ns0:c r="M17" s="4" t="s">
        <ns0:v>66</ns0:v>
      </ns0:c>
      <ns0:c r="N17" s="4" t="s">
        <ns0:v>26</ns0:v>
      </ns0:c>
      <ns0:c r="O17" s="4" t="s">
        <ns0:v>38</ns0:v>
      </ns0:c>
      <ns0:c r="P17" s="4" t="s">
        <ns0:v>135</ns0:v>
      </ns0:c>
      <ns0:c r="Q17" s="6" t="s">
        <ns0:v>136</ns0:v>
      </ns0:c>
    </ns0:row>
    <ns0:row r="18" customFormat="false" ht="68.65" hidden="false" customHeight="false" outlineLevel="0" collapsed="false">
      <ns0:c r="A18" s="2" t="n">
        <ns0:v>17</ns0:v>
      </ns0:c>
      <ns0:c r="B18" s="3"/>
      <ns0:c r="C18" s="3"/>
      <ns0:c r="D18" s="2" t="s">
        <ns0:v>116</ns0:v>
      </ns0:c>
      <ns0:c r="E18" s="2" t="s">
        <ns0:v>137</ns0:v>
      </ns0:c>
      <ns0:c r="F18" s="4" t="s">
        <ns0:v>62</ns0:v>
      </ns0:c>
      <ns0:c r="G18" s="4" t="s">
        <ns0:v>138</ns0:v>
      </ns0:c>
      <ns0:c r="H18" s="4"/>
      <ns0:c r="I18" s="4"/>
      <ns0:c r="J18" s="4"/>
      <ns0:c r="K18" s="4"/>
      <ns0:c r="L18" s="5" t="str">
        <ns0:f aca="false">HYPERLINK("https://www.sec.gov/Archives/edgar/data/1652044/000165204426000071/goog-20260630.htm","10-Q filed 2026-07-23")</ns0:f>
        <ns0:v>10-Q filed 2026-07-23</ns0:v>
      </ns0:c>
      <ns0:c r="M18" s="4" t="s">
        <ns0:v>139</ns0:v>
      </ns0:c>
      <ns0:c r="N18" s="4" t="s">
        <ns0:v>140</ns0:v>
      </ns0:c>
      <ns0:c r="O18" s="4" t="s">
        <ns0:v>141</ns0:v>
      </ns0:c>
      <ns0:c r="P18" s="4" t="s">
        <ns0:v>142</ns0:v>
      </ns0:c>
      <ns0:c r="Q18" s="6" t="s">
        <ns0:v>143</ns0:v>
      </ns0:c>
    </ns0:row>
    <ns0:row r="19" customFormat="false" ht="55.2" hidden="false" customHeight="false" outlineLevel="0" collapsed="false">
      <ns0:c r="A19" s="2" t="n">
        <ns0:v>18</ns0:v>
      </ns0:c>
      <ns0:c r="B19" s="3"/>
      <ns0:c r="C19" s="3"/>
      <ns0:c r="D19" s="2" t="s">
        <ns0:v>116</ns0:v>
      </ns0:c>
      <ns0:c r="E19" s="2" t="s">
        <ns0:v>124</ns0:v>
      </ns0:c>
      <ns0:c r="F19" s="4" t="s">
        <ns0:v>62</ns0:v>
      </ns0:c>
      <ns0:c r="G19" s="4" t="s">
        <ns0:v>144</ns0:v>
      </ns0:c>
      <ns0:c r="H19" s="4"/>
      <ns0:c r="I19" s="4"/>
      <ns0:c r="J19" s="4"/>
      <ns0:c r="K19" s="4"/>
      <ns0:c r="L19" s="5" t="str">
        <ns0:f aca="false">HYPERLINK("https://www.sec.gov/Archives/edgar/data/1652044/000165204426000071/goog-20260630.htm","10-Q filed 2026-07-23")</ns0:f>
        <ns0:v>10-Q filed 2026-07-23</ns0:v>
      </ns0:c>
      <ns0:c r="M19" s="4" t="s">
        <ns0:v>145</ns0:v>
      </ns0:c>
      <ns0:c r="N19" s="4" t="s">
        <ns0:v>140</ns0:v>
      </ns0:c>
      <ns0:c r="O19" s="4" t="s">
        <ns0:v>83</ns0:v>
      </ns0:c>
      <ns0:c r="P19" s="4" t="s">
        <ns0:v>146</ns0:v>
      </ns0:c>
      <ns0:c r="Q19" s="6" t="s">
        <ns0:v>147</ns0:v>
      </ns0:c>
    </ns0:row>
    <ns0:row r="20" customFormat="false" ht="68.65" hidden="false" customHeight="false" outlineLevel="0" collapsed="false">
      <ns0:c r="A20" s="2" t="n">
        <ns0:v>19</ns0:v>
      </ns0:c>
      <ns0:c r="B20" s="3"/>
      <ns0:c r="C20" s="3"/>
      <ns0:c r="D20" s="2" t="s">
        <ns0:v>116</ns0:v>
      </ns0:c>
      <ns0:c r="E20" s="2" t="s">
        <ns0:v>148</ns0:v>
      </ns0:c>
      <ns0:c r="F20" s="4" t="s">
        <ns0:v>62</ns0:v>
      </ns0:c>
      <ns0:c r="G20" s="4" t="s">
        <ns0:v>149</ns0:v>
      </ns0:c>
      <ns0:c r="H20" s="4"/>
      <ns0:c r="I20" s="4"/>
      <ns0:c r="J20" s="4"/>
      <ns0:c r="K20" s="4"/>
      <ns0:c r="L20" s="5" t="str">
        <ns0:f aca="false">HYPERLINK("https://www.sec.gov/Archives/edgar/data/1652044/000165204426000066/googexhibit991q22026.htm","Results release (8-K filed 2026-07-22): googexhibit991q22026.htm")</ns0:f>
        <ns0:v>Results release (8-K filed 2026-07-22): googexhibit991q22026.htm</ns0:v>
      </ns0:c>
      <ns0:c r="M20" s="4" t="s">
        <ns0:v>150</ns0:v>
      </ns0:c>
      <ns0:c r="N20" s="4" t="s">
        <ns0:v>95</ns0:v>
      </ns0:c>
      <ns0:c r="O20" s="4" t="s">
        <ns0:v>141</ns0:v>
      </ns0:c>
      <ns0:c r="P20" s="4" t="s">
        <ns0:v>151</ns0:v>
      </ns0:c>
      <ns0:c r="Q20" s="6" t="s">
        <ns0:v>152</ns0:v>
      </ns0:c>
    </ns0:row>
    <ns0:row r="21" customFormat="false" ht="41.75" hidden="false" customHeight="false" outlineLevel="0" collapsed="false">
      <ns0:c r="A21" s="2" t="n">
        <ns0:v>20</ns0:v>
      </ns0:c>
      <ns0:c r="B21" s="3"/>
      <ns0:c r="C21" s="3"/>
      <ns0:c r="D21" s="2" t="s">
        <ns0:v>116</ns0:v>
      </ns0:c>
      <ns0:c r="E21" s="2" t="s">
        <ns0:v>148</ns0:v>
      </ns0:c>
      <ns0:c r="F21" s="4" t="s">
        <ns0:v>62</ns0:v>
      </ns0:c>
      <ns0:c r="G21" s="4" t="s">
        <ns0:v>153</ns0:v>
      </ns0:c>
      <ns0:c r="H21" s="4"/>
      <ns0:c r="I21" s="4"/>
      <ns0:c r="J21" s="4"/>
      <ns0:c r="K21" s="4"/>
      <ns0:c r="L21" s="5" t="str">
        <ns0:f aca="false">HYPERLINK("https://www.sec.gov/Archives/edgar/data/1652044/000165204426000066/googexhibit991q22026.htm","Results release (8-K filed 2026-07-22): googexhibit991q22026.htm")</ns0:f>
        <ns0:v>Results release (8-K filed 2026-07-22): googexhibit991q22026.htm</ns0:v>
      </ns0:c>
      <ns0:c r="M21" s="4" t="s">
        <ns0:v>154</ns0:v>
      </ns0:c>
      <ns0:c r="N21" s="4" t="s">
        <ns0:v>120</ns0:v>
      </ns0:c>
      <ns0:c r="O21" s="4" t="s">
        <ns0:v>141</ns0:v>
      </ns0:c>
      <ns0:c r="P21" s="4" t="s">
        <ns0:v>155</ns0:v>
      </ns0:c>
      <ns0:c r="Q21" s="6" t="s">
        <ns0:v>156</ns0:v>
      </ns0:c>
    </ns0:row>
    <ns0:row r="22" customFormat="false" ht="55.2" hidden="false" customHeight="false" outlineLevel="0" collapsed="false">
      <ns0:c r="A22" s="2" t="n">
        <ns0:v>21</ns0:v>
      </ns0:c>
      <ns0:c r="B22" s="3"/>
      <ns0:c r="C22" s="3"/>
      <ns0:c r="D22" s="2" t="s">
        <ns0:v>116</ns0:v>
      </ns0:c>
      <ns0:c r="E22" s="2" t="s">
        <ns0:v>148</ns0:v>
      </ns0:c>
      <ns0:c r="F22" s="4" t="s">
        <ns0:v>62</ns0:v>
      </ns0:c>
      <ns0:c r="G22" s="4" t="s">
        <ns0:v>157</ns0:v>
      </ns0:c>
      <ns0:c r="H22" s="4"/>
      <ns0:c r="I22" s="4"/>
      <ns0:c r="J22" s="4"/>
      <ns0:c r="K22" s="4"/>
      <ns0:c r="L22" s="5" t="str">
        <ns0:f aca="false">HYPERLINK("https://www.sec.gov/Archives/edgar/data/1652044/000165204426000066/googexhibit991q22026.htm","Results release (8-K filed 2026-07-22): googexhibit991q22026.htm")</ns0:f>
        <ns0:v>Results release (8-K filed 2026-07-22): googexhibit991q22026.htm</ns0:v>
      </ns0:c>
      <ns0:c r="M22" s="4" t="s">
        <ns0:v>158</ns0:v>
      </ns0:c>
      <ns0:c r="N22" s="4" t="s">
        <ns0:v>120</ns0:v>
      </ns0:c>
      <ns0:c r="O22" s="4" t="s">
        <ns0:v>141</ns0:v>
      </ns0:c>
      <ns0:c r="P22" s="4" t="s">
        <ns0:v>159</ns0:v>
      </ns0:c>
      <ns0:c r="Q22" s="6" t="s">
        <ns0:v>160</ns0:v>
      </ns0:c>
    </ns0:row>
    <ns0:row r="23" customFormat="false" ht="55.2" hidden="false" customHeight="false" outlineLevel="0" collapsed="false">
      <ns0:c r="A23" s="2" t="n">
        <ns0:v>22</ns0:v>
      </ns0:c>
      <ns0:c r="B23" s="3"/>
      <ns0:c r="C23" s="3"/>
      <ns0:c r="D23" s="2" t="s">
        <ns0:v>116</ns0:v>
      </ns0:c>
      <ns0:c r="E23" s="2" t="s">
        <ns0:v>148</ns0:v>
      </ns0:c>
      <ns0:c r="F23" s="4" t="s">
        <ns0:v>62</ns0:v>
      </ns0:c>
      <ns0:c r="G23" s="4" t="s">
        <ns0:v>161</ns0:v>
      </ns0:c>
      <ns0:c r="H23" s="4"/>
      <ns0:c r="I23" s="4"/>
      <ns0:c r="J23" s="4"/>
      <ns0:c r="K23" s="4"/>
      <ns0:c r="L23" s="5" t="str">
        <ns0:f aca="false">HYPERLINK("https://www.sec.gov/Archives/edgar/data/1652044/000165204426000066/googexhibit991q22026.htm","Results release (8-K filed 2026-07-22): googexhibit991q22026.htm")</ns0:f>
        <ns0:v>Results release (8-K filed 2026-07-22): googexhibit991q22026.htm</ns0:v>
      </ns0:c>
      <ns0:c r="M23" s="4" t="s">
        <ns0:v>162</ns0:v>
      </ns0:c>
      <ns0:c r="N23" s="4" t="s">
        <ns0:v>26</ns0:v>
      </ns0:c>
      <ns0:c r="O23" s="4" t="s">
        <ns0:v>141</ns0:v>
      </ns0:c>
      <ns0:c r="P23" s="4" t="s">
        <ns0:v>163</ns0:v>
      </ns0:c>
      <ns0:c r="Q23" s="6" t="s">
        <ns0:v>164</ns0:v>
      </ns0:c>
    </ns0:row>
    <ns0:row r="24" customFormat="false" ht="55.2" hidden="false" customHeight="false" outlineLevel="0" collapsed="false">
      <ns0:c r="A24" s="2" t="n">
        <ns0:v>23</ns0:v>
      </ns0:c>
      <ns0:c r="B24" s="3"/>
      <ns0:c r="C24" s="3"/>
      <ns0:c r="D24" s="2" t="s">
        <ns0:v>116</ns0:v>
      </ns0:c>
      <ns0:c r="E24" s="2" t="s">
        <ns0:v>165</ns0:v>
      </ns0:c>
      <ns0:c r="F24" s="4" t="s">
        <ns0:v>48</ns0:v>
      </ns0:c>
      <ns0:c r="G24" s="4" t="s">
        <ns0:v>166</ns0:v>
      </ns0:c>
      <ns0:c r="H24" s="4"/>
      <ns0:c r="I24" s="4"/>
      <ns0:c r="J24" s="4"/>
      <ns0:c r="K24" s="4"/>
      <ns0:c r="L24" s="5" t="str">
        <ns0:f aca="false">HYPERLINK("https://www.sec.gov/Archives/edgar/data/1018724/000101872426000026/amzn-20260630.htm","10-Q filed 2026-07-31")</ns0:f>
        <ns0:v>10-Q filed 2026-07-31</ns0:v>
      </ns0:c>
      <ns0:c r="M24" s="4" t="s">
        <ns0:v>167</ns0:v>
      </ns0:c>
      <ns0:c r="N24" s="4" t="s">
        <ns0:v>120</ns0:v>
      </ns0:c>
      <ns0:c r="O24" s="4" t="s">
        <ns0:v>96</ns0:v>
      </ns0:c>
      <ns0:c r="P24" s="4" t="s">
        <ns0:v>168</ns0:v>
      </ns0:c>
      <ns0:c r="Q24" s="6" t="s">
        <ns0:v>169</ns0:v>
      </ns0:c>
    </ns0:row>
    <ns0:row r="25" customFormat="false" ht="108.95" hidden="false" customHeight="false" outlineLevel="0" collapsed="false">
      <ns0:c r="A25" s="2" t="n">
        <ns0:v>24</ns0:v>
      </ns0:c>
      <ns0:c r="B25" s="3"/>
      <ns0:c r="C25" s="3"/>
      <ns0:c r="D25" s="2" t="s">
        <ns0:v>116</ns0:v>
      </ns0:c>
      <ns0:c r="E25" s="2" t="s">
        <ns0:v>55</ns0:v>
      </ns0:c>
      <ns0:c r="F25" s="4" t="s">
        <ns0:v>48</ns0:v>
      </ns0:c>
      <ns0:c r="G25" s="4" t="s">
        <ns0:v>170</ns0:v>
      </ns0:c>
      <ns0:c r="H25" s="4"/>
      <ns0:c r="I25" s="4"/>
      <ns0:c r="J25" s="4"/>
      <ns0:c r="K25" s="4"/>
      <ns0:c r="L25" s="5" t="str">
        <ns0:f aca="false">HYPERLINK("https://www.sec.gov/Archives/edgar/data/1018724/000101872426000026/amzn-20260630.htm","10-Q filed 2026-07-31")</ns0:f>
        <ns0:v>10-Q filed 2026-07-31</ns0:v>
      </ns0:c>
      <ns0:c r="M25" s="4" t="s">
        <ns0:v>171</ns0:v>
      </ns0:c>
      <ns0:c r="N25" s="4" t="s">
        <ns0:v>120</ns0:v>
      </ns0:c>
      <ns0:c r="O25" s="4" t="s">
        <ns0:v>38</ns0:v>
      </ns0:c>
      <ns0:c r="P25" s="4" t="s">
        <ns0:v>172</ns0:v>
      </ns0:c>
      <ns0:c r="Q25" s="6" t="s">
        <ns0:v>173</ns0:v>
      </ns0:c>
    </ns0:row>
    <ns0:row r="26" customFormat="false" ht="55.2" hidden="false" customHeight="false" outlineLevel="0" collapsed="false">
      <ns0:c r="A26" s="2" t="n">
        <ns0:v>25</ns0:v>
      </ns0:c>
      <ns0:c r="B26" s="3"/>
      <ns0:c r="C26" s="3"/>
      <ns0:c r="D26" s="2" t="s">
        <ns0:v>116</ns0:v>
      </ns0:c>
      <ns0:c r="E26" s="2" t="s">
        <ns0:v>174</ns0:v>
      </ns0:c>
      <ns0:c r="F26" s="4" t="s">
        <ns0:v>48</ns0:v>
      </ns0:c>
      <ns0:c r="G26" s="4" t="s">
        <ns0:v>175</ns0:v>
      </ns0:c>
      <ns0:c r="H26" s="4"/>
      <ns0:c r="I26" s="4"/>
      <ns0:c r="J26" s="4"/>
      <ns0:c r="K26" s="4"/>
      <ns0:c r="L26" s="5" t="str">
        <ns0:f aca="false">HYPERLINK("https://www.sec.gov/Archives/edgar/data/1018724/000101872426000026/amzn-20260630.htm","10-Q filed 2026-07-31")</ns0:f>
        <ns0:v>10-Q filed 2026-07-31</ns0:v>
      </ns0:c>
      <ns0:c r="M26" s="4" t="s">
        <ns0:v>176</ns0:v>
      </ns0:c>
      <ns0:c r="N26" s="4" t="s">
        <ns0:v>120</ns0:v>
      </ns0:c>
      <ns0:c r="O26" s="4" t="s">
        <ns0:v>96</ns0:v>
      </ns0:c>
      <ns0:c r="P26" s="4" t="s">
        <ns0:v>177</ns0:v>
      </ns0:c>
      <ns0:c r="Q26" s="6" t="s">
        <ns0:v>178</ns0:v>
      </ns0:c>
    </ns0:row>
    <ns0:row r="27" customFormat="false" ht="55.2" hidden="false" customHeight="false" outlineLevel="0" collapsed="false">
      <ns0:c r="A27" s="2" t="n">
        <ns0:v>26</ns0:v>
      </ns0:c>
      <ns0:c r="B27" s="3"/>
      <ns0:c r="C27" s="3"/>
      <ns0:c r="D27" s="2" t="s">
        <ns0:v>116</ns0:v>
      </ns0:c>
      <ns0:c r="E27" s="2" t="s">
        <ns0:v>179</ns0:v>
      </ns0:c>
      <ns0:c r="F27" s="4" t="s">
        <ns0:v>48</ns0:v>
      </ns0:c>
      <ns0:c r="G27" s="4" t="s">
        <ns0:v>180</ns0:v>
      </ns0:c>
      <ns0:c r="H27" s="4"/>
      <ns0:c r="I27" s="4"/>
      <ns0:c r="J27" s="4"/>
      <ns0:c r="K27" s="4"/>
      <ns0:c r="L27" s="5" t="str">
        <ns0:f aca="false">HYPERLINK("https://www.sec.gov/Archives/edgar/data/1018724/000101872426000026/amzn-20260630.htm","10-Q filed 2026-07-31")</ns0:f>
        <ns0:v>10-Q filed 2026-07-31</ns0:v>
      </ns0:c>
      <ns0:c r="M27" s="4" t="s">
        <ns0:v>181</ns0:v>
      </ns0:c>
      <ns0:c r="N27" s="4" t="s">
        <ns0:v>140</ns0:v>
      </ns0:c>
      <ns0:c r="O27" s="4" t="s">
        <ns0:v>38</ns0:v>
      </ns0:c>
      <ns0:c r="P27" s="4" t="s">
        <ns0:v>182</ns0:v>
      </ns0:c>
      <ns0:c r="Q27" s="6" t="s">
        <ns0:v>183</ns0:v>
      </ns0:c>
    </ns0:row>
    <ns0:row r="28" customFormat="false" ht="68.65" hidden="false" customHeight="false" outlineLevel="0" collapsed="false">
      <ns0:c r="A28" s="2" t="n">
        <ns0:v>27</ns0:v>
      </ns0:c>
      <ns0:c r="B28" s="3"/>
      <ns0:c r="C28" s="3"/>
      <ns0:c r="D28" s="2" t="s">
        <ns0:v>116</ns0:v>
      </ns0:c>
      <ns0:c r="E28" s="2" t="s">
        <ns0:v>179</ns0:v>
      </ns0:c>
      <ns0:c r="F28" s="4" t="s">
        <ns0:v>48</ns0:v>
      </ns0:c>
      <ns0:c r="G28" s="4" t="s">
        <ns0:v>184</ns0:v>
      </ns0:c>
      <ns0:c r="H28" s="4"/>
      <ns0:c r="I28" s="4"/>
      <ns0:c r="J28" s="4"/>
      <ns0:c r="K28" s="4"/>
      <ns0:c r="L28" s="5" t="str">
        <ns0:f aca="false">HYPERLINK("https://www.sec.gov/Archives/edgar/data/1018724/000101872426000026/amzn-20260630.htm","10-Q filed 2026-07-31")</ns0:f>
        <ns0:v>10-Q filed 2026-07-31</ns0:v>
      </ns0:c>
      <ns0:c r="M28" s="4" t="s">
        <ns0:v>185</ns0:v>
      </ns0:c>
      <ns0:c r="N28" s="4" t="s">
        <ns0:v>140</ns0:v>
      </ns0:c>
      <ns0:c r="O28" s="4" t="s">
        <ns0:v>38</ns0:v>
      </ns0:c>
      <ns0:c r="P28" s="4" t="s">
        <ns0:v>186</ns0:v>
      </ns0:c>
      <ns0:c r="Q28" s="6" t="s">
        <ns0:v>187</ns0:v>
      </ns0:c>
    </ns0:row>
    <ns0:row r="29" customFormat="false" ht="41.75" hidden="false" customHeight="false" outlineLevel="0" collapsed="false">
      <ns0:c r="A29" s="2" t="n">
        <ns0:v>28</ns0:v>
      </ns0:c>
      <ns0:c r="B29" s="3"/>
      <ns0:c r="C29" s="3"/>
      <ns0:c r="D29" s="2" t="s">
        <ns0:v>116</ns0:v>
      </ns0:c>
      <ns0:c r="E29" s="2" t="s">
        <ns0:v>188</ns0:v>
      </ns0:c>
      <ns0:c r="F29" s="4" t="s">
        <ns0:v>48</ns0:v>
      </ns0:c>
      <ns0:c r="G29" s="4" t="s">
        <ns0:v>189</ns0:v>
      </ns0:c>
      <ns0:c r="H29" s="4"/>
      <ns0:c r="I29" s="4"/>
      <ns0:c r="J29" s="4"/>
      <ns0:c r="K29" s="4"/>
      <ns0:c r="L29" s="5" t="str">
        <ns0:f aca="false">HYPERLINK("https://www.sec.gov/Archives/edgar/data/1018724/000101872426000024/amzn-20260630xex991.htm","Results release (8-K filed 2026-07-30): amzn-20260630xex991.htm")</ns0:f>
        <ns0:v>Results release (8-K filed 2026-07-30): amzn-20260630xex991.htm</ns0:v>
      </ns0:c>
      <ns0:c r="M29" s="4" t="s">
        <ns0:v>190</ns0:v>
      </ns0:c>
      <ns0:c r="N29" s="4" t="s">
        <ns0:v>120</ns0:v>
      </ns0:c>
      <ns0:c r="O29" s="4" t="s">
        <ns0:v>103</ns0:v>
      </ns0:c>
      <ns0:c r="P29" s="4" t="s">
        <ns0:v>191</ns0:v>
      </ns0:c>
      <ns0:c r="Q29" s="6" t="s">
        <ns0:v>192</ns0:v>
      </ns0:c>
    </ns0:row>
    <ns0:row r="30" customFormat="false" ht="108.95" hidden="false" customHeight="false" outlineLevel="0" collapsed="false">
      <ns0:c r="A30" s="2" t="n">
        <ns0:v>29</ns0:v>
      </ns0:c>
      <ns0:c r="B30" s="3"/>
      <ns0:c r="C30" s="3"/>
      <ns0:c r="D30" s="2" t="s">
        <ns0:v>116</ns0:v>
      </ns0:c>
      <ns0:c r="E30" s="2" t="s">
        <ns0:v>193</ns0:v>
      </ns0:c>
      <ns0:c r="F30" s="4" t="s">
        <ns0:v>48</ns0:v>
      </ns0:c>
      <ns0:c r="G30" s="4" t="s">
        <ns0:v>194</ns0:v>
      </ns0:c>
      <ns0:c r="H30" s="4"/>
      <ns0:c r="I30" s="4"/>
      <ns0:c r="J30" s="4"/>
      <ns0:c r="K30" s="4"/>
      <ns0:c r="L30" s="5" t="str">
        <ns0:f aca="false">HYPERLINK("https://www.sec.gov/Archives/edgar/data/1018724/000101872426000024/amzn-20260630xex991.htm","Results release (8-K filed 2026-07-30): amzn-20260630xex991.htm")</ns0:f>
        <ns0:v>Results release (8-K filed 2026-07-30): amzn-20260630xex991.htm</ns0:v>
      </ns0:c>
      <ns0:c r="M30" s="4" t="s">
        <ns0:v>195</ns0:v>
      </ns0:c>
      <ns0:c r="N30" s="4" t="s">
        <ns0:v>120</ns0:v>
      </ns0:c>
      <ns0:c r="O30" s="4" t="s">
        <ns0:v>141</ns0:v>
      </ns0:c>
      <ns0:c r="P30" s="4" t="s">
        <ns0:v>196</ns0:v>
      </ns0:c>
      <ns0:c r="Q30" s="6" t="s">
        <ns0:v>197</ns0:v>
      </ns0:c>
    </ns0:row>
    <ns0:row r="31" customFormat="false" ht="55.2" hidden="false" customHeight="false" outlineLevel="0" collapsed="false">
      <ns0:c r="A31" s="2" t="n">
        <ns0:v>30</ns0:v>
      </ns0:c>
      <ns0:c r="B31" s="3"/>
      <ns0:c r="C31" s="3"/>
      <ns0:c r="D31" s="2" t="s">
        <ns0:v>116</ns0:v>
      </ns0:c>
      <ns0:c r="E31" s="2" t="s">
        <ns0:v>188</ns0:v>
      </ns0:c>
      <ns0:c r="F31" s="4" t="s">
        <ns0:v>48</ns0:v>
      </ns0:c>
      <ns0:c r="G31" s="4" t="s">
        <ns0:v>198</ns0:v>
      </ns0:c>
      <ns0:c r="H31" s="4"/>
      <ns0:c r="I31" s="4"/>
      <ns0:c r="J31" s="4"/>
      <ns0:c r="K31" s="4"/>
      <ns0:c r="L31" s="5" t="str">
        <ns0:f aca="false">HYPERLINK("https://www.sec.gov/Archives/edgar/data/1018724/000101872426000024/amzn-20260630xex991.htm","Results release (8-K filed 2026-07-30): amzn-20260630xex991.htm")</ns0:f>
        <ns0:v>Results release (8-K filed 2026-07-30): amzn-20260630xex991.htm</ns0:v>
      </ns0:c>
      <ns0:c r="M31" s="4" t="s">
        <ns0:v>199</ns0:v>
      </ns0:c>
      <ns0:c r="N31" s="4" t="s">
        <ns0:v>140</ns0:v>
      </ns0:c>
      <ns0:c r="O31" s="4" t="s">
        <ns0:v>103</ns0:v>
      </ns0:c>
      <ns0:c r="P31" s="4" t="s">
        <ns0:v>200</ns0:v>
      </ns0:c>
      <ns0:c r="Q31" s="6" t="s">
        <ns0:v>201</ns0:v>
      </ns0:c>
    </ns0:row>
    <ns0:row r="32" customFormat="false" ht="68.65" hidden="false" customHeight="false" outlineLevel="0" collapsed="false">
      <ns0:c r="A32" s="2" t="n">
        <ns0:v>31</ns0:v>
      </ns0:c>
      <ns0:c r="B32" s="3"/>
      <ns0:c r="C32" s="3"/>
      <ns0:c r="D32" s="2" t="s">
        <ns0:v>116</ns0:v>
      </ns0:c>
      <ns0:c r="E32" s="2" t="s">
        <ns0:v>202</ns0:v>
      </ns0:c>
      <ns0:c r="F32" s="4" t="s">
        <ns0:v>48</ns0:v>
      </ns0:c>
      <ns0:c r="G32" s="4" t="s">
        <ns0:v>203</ns0:v>
      </ns0:c>
      <ns0:c r="H32" s="4"/>
      <ns0:c r="I32" s="4"/>
      <ns0:c r="J32" s="4"/>
      <ns0:c r="K32" s="4"/>
      <ns0:c r="L32" s="5" t="str">
        <ns0:f aca="false">HYPERLINK("https://www.sec.gov/Archives/edgar/data/1018724/000101872426000024/amzn-20260630xex991.htm","Results release (8-K filed 2026-07-30): amzn-20260630xex991.htm")</ns0:f>
        <ns0:v>Results release (8-K filed 2026-07-30): amzn-20260630xex991.htm</ns0:v>
      </ns0:c>
      <ns0:c r="M32" s="4" t="s">
        <ns0:v>204</ns0:v>
      </ns0:c>
      <ns0:c r="N32" s="4" t="s">
        <ns0:v>140</ns0:v>
      </ns0:c>
      <ns0:c r="O32" s="4" t="s">
        <ns0:v>141</ns0:v>
      </ns0:c>
      <ns0:c r="P32" s="4" t="s">
        <ns0:v>205</ns0:v>
      </ns0:c>
      <ns0:c r="Q32" s="6" t="s">
        <ns0:v>206</ns0:v>
      </ns0:c>
    </ns0:row>
    <ns0:row r="33" customFormat="false" ht="82.05" hidden="false" customHeight="false" outlineLevel="0" collapsed="false">
      <ns0:c r="A33" s="2" t="n">
        <ns0:v>32</ns0:v>
      </ns0:c>
      <ns0:c r="B33" s="3"/>
      <ns0:c r="C33" s="3"/>
      <ns0:c r="D33" s="2" t="s">
        <ns0:v>116</ns0:v>
      </ns0:c>
      <ns0:c r="E33" s="2" t="s">
        <ns0:v>207</ns0:v>
      </ns0:c>
      <ns0:c r="F33" s="4" t="s">
        <ns0:v>77</ns0:v>
      </ns0:c>
      <ns0:c r="G33" s="4" t="s">
        <ns0:v>208</ns0:v>
      </ns0:c>
      <ns0:c r="H33" s="4"/>
      <ns0:c r="I33" s="4"/>
      <ns0:c r="J33" s="4"/>
      <ns0:c r="K33" s="4"/>
      <ns0:c r="L33" s="5" t="str">
        <ns0:f aca="false">HYPERLINK("https://www.sec.gov/Archives/edgar/data/1769628/000176962826000366/crwv-20260630.htm","10-Q filed 2026-08-12")</ns0:f>
        <ns0:v>10-Q filed 2026-08-12</ns0:v>
      </ns0:c>
      <ns0:c r="M33" s="4" t="s">
        <ns0:v>209</ns0:v>
      </ns0:c>
      <ns0:c r="N33" s="4" t="s">
        <ns0:v>210</ns0:v>
      </ns0:c>
      <ns0:c r="O33" s="4" t="s">
        <ns0:v>27</ns0:v>
      </ns0:c>
      <ns0:c r="P33" s="4" t="s">
        <ns0:v>211</ns0:v>
      </ns0:c>
      <ns0:c r="Q33" s="6" t="s">
        <ns0:v>212</ns0:v>
      </ns0:c>
    </ns0:row>
    <ns0:row r="34" customFormat="false" ht="41.75" hidden="false" customHeight="false" outlineLevel="0" collapsed="false">
      <ns0:c r="A34" s="2" t="n">
        <ns0:v>33</ns0:v>
      </ns0:c>
      <ns0:c r="B34" s="3"/>
      <ns0:c r="C34" s="3"/>
      <ns0:c r="D34" s="2" t="s">
        <ns0:v>116</ns0:v>
      </ns0:c>
      <ns0:c r="E34" s="2" t="s">
        <ns0:v>207</ns0:v>
      </ns0:c>
      <ns0:c r="F34" s="4" t="s">
        <ns0:v>77</ns0:v>
      </ns0:c>
      <ns0:c r="G34" s="4" t="s">
        <ns0:v>213</ns0:v>
      </ns0:c>
      <ns0:c r="H34" s="4"/>
      <ns0:c r="I34" s="4"/>
      <ns0:c r="J34" s="4"/>
      <ns0:c r="K34" s="4"/>
      <ns0:c r="L34" s="5" t="str">
        <ns0:f aca="false">HYPERLINK("https://www.sec.gov/Archives/edgar/data/1769628/000176962826000366/crwv-20260630.htm","10-Q filed 2026-08-12")</ns0:f>
        <ns0:v>10-Q filed 2026-08-12</ns0:v>
      </ns0:c>
      <ns0:c r="M34" s="4" t="s">
        <ns0:v>214</ns0:v>
      </ns0:c>
      <ns0:c r="N34" s="4" t="s">
        <ns0:v>210</ns0:v>
      </ns0:c>
      <ns0:c r="O34" s="4" t="s">
        <ns0:v>27</ns0:v>
      </ns0:c>
      <ns0:c r="P34" s="4" t="s">
        <ns0:v>215</ns0:v>
      </ns0:c>
      <ns0:c r="Q34" s="6" t="s">
        <ns0:v>216</ns0:v>
      </ns0:c>
    </ns0:row>
    <ns0:row r="35" customFormat="false" ht="95.5" hidden="false" customHeight="false" outlineLevel="0" collapsed="false">
      <ns0:c r="A35" s="2" t="n">
        <ns0:v>34</ns0:v>
      </ns0:c>
      <ns0:c r="B35" s="3"/>
      <ns0:c r="C35" s="3"/>
      <ns0:c r="D35" s="2" t="s">
        <ns0:v>116</ns0:v>
      </ns0:c>
      <ns0:c r="E35" s="2" t="s">
        <ns0:v>217</ns0:v>
      </ns0:c>
      <ns0:c r="F35" s="4" t="s">
        <ns0:v>77</ns0:v>
      </ns0:c>
      <ns0:c r="G35" s="4" t="s">
        <ns0:v>218</ns0:v>
      </ns0:c>
      <ns0:c r="H35" s="4"/>
      <ns0:c r="I35" s="4"/>
      <ns0:c r="J35" s="4"/>
      <ns0:c r="K35" s="4"/>
      <ns0:c r="L35" s="5" t="str">
        <ns0:f aca="false">HYPERLINK("https://www.sec.gov/Archives/edgar/data/1769628/000176962826000366/crwv-20260630.htm","10-Q filed 2026-08-12")</ns0:f>
        <ns0:v>10-Q filed 2026-08-12</ns0:v>
      </ns0:c>
      <ns0:c r="M35" s="4" t="s">
        <ns0:v>219</ns0:v>
      </ns0:c>
      <ns0:c r="N35" s="4" t="s">
        <ns0:v>210</ns0:v>
      </ns0:c>
      <ns0:c r="O35" s="4" t="s">
        <ns0:v>83</ns0:v>
      </ns0:c>
      <ns0:c r="P35" s="4" t="s">
        <ns0:v>220</ns0:v>
      </ns0:c>
      <ns0:c r="Q35" s="6" t="s">
        <ns0:v>221</ns0:v>
      </ns0:c>
    </ns0:row>
    <ns0:row r="36" customFormat="false" ht="41.75" hidden="false" customHeight="false" outlineLevel="0" collapsed="false">
      <ns0:c r="A36" s="2" t="n">
        <ns0:v>35</ns0:v>
      </ns0:c>
      <ns0:c r="B36" s="3"/>
      <ns0:c r="C36" s="3"/>
      <ns0:c r="D36" s="2" t="s">
        <ns0:v>116</ns0:v>
      </ns0:c>
      <ns0:c r="E36" s="2" t="s">
        <ns0:v>222</ns0:v>
      </ns0:c>
      <ns0:c r="F36" s="4" t="s">
        <ns0:v>77</ns0:v>
      </ns0:c>
      <ns0:c r="G36" s="4" t="s">
        <ns0:v>223</ns0:v>
      </ns0:c>
      <ns0:c r="H36" s="4"/>
      <ns0:c r="I36" s="4"/>
      <ns0:c r="J36" s="4"/>
      <ns0:c r="K36" s="4"/>
      <ns0:c r="L36" s="5" t="str">
        <ns0:f aca="false">HYPERLINK("https://www.sec.gov/Archives/edgar/data/1769628/000176962826000366/crwv-20260630.htm","10-Q filed 2026-08-12")</ns0:f>
        <ns0:v>10-Q filed 2026-08-12</ns0:v>
      </ns0:c>
      <ns0:c r="M36" s="4" t="s">
        <ns0:v>224</ns0:v>
      </ns0:c>
      <ns0:c r="N36" s="4" t="s">
        <ns0:v>140</ns0:v>
      </ns0:c>
      <ns0:c r="O36" s="4" t="s">
        <ns0:v>225</ns0:v>
      </ns0:c>
      <ns0:c r="P36" s="4" t="s">
        <ns0:v>226</ns0:v>
      </ns0:c>
      <ns0:c r="Q36" s="6" t="s">
        <ns0:v>227</ns0:v>
      </ns0:c>
    </ns0:row>
    <ns0:row r="37" customFormat="false" ht="55.2" hidden="false" customHeight="false" outlineLevel="0" collapsed="false">
      <ns0:c r="A37" s="2" t="n">
        <ns0:v>36</ns0:v>
      </ns0:c>
      <ns0:c r="B37" s="3"/>
      <ns0:c r="C37" s="3"/>
      <ns0:c r="D37" s="2" t="s">
        <ns0:v>116</ns0:v>
      </ns0:c>
      <ns0:c r="E37" s="2" t="s">
        <ns0:v>228</ns0:v>
      </ns0:c>
      <ns0:c r="F37" s="4" t="s">
        <ns0:v>77</ns0:v>
      </ns0:c>
      <ns0:c r="G37" s="4" t="s">
        <ns0:v>229</ns0:v>
      </ns0:c>
      <ns0:c r="H37" s="4"/>
      <ns0:c r="I37" s="4"/>
      <ns0:c r="J37" s="4"/>
      <ns0:c r="K37" s="4"/>
      <ns0:c r="L37" s="5" t="str">
        <ns0:f aca="false">HYPERLINK("https://www.sec.gov/Archives/edgar/data/1769628/000176962826000366/crwv-20260630.htm","10-Q filed 2026-08-12")</ns0:f>
        <ns0:v>10-Q filed 2026-08-12</ns0:v>
      </ns0:c>
      <ns0:c r="M37" s="4" t="s">
        <ns0:v>230</ns0:v>
      </ns0:c>
      <ns0:c r="N37" s="4" t="s">
        <ns0:v>140</ns0:v>
      </ns0:c>
      <ns0:c r="O37" s="4" t="s">
        <ns0:v>27</ns0:v>
      </ns0:c>
      <ns0:c r="P37" s="4" t="s">
        <ns0:v>231</ns0:v>
      </ns0:c>
      <ns0:c r="Q37" s="6" t="s">
        <ns0:v>232</ns0:v>
      </ns0:c>
    </ns0:row>
    <ns0:row r="38" customFormat="false" ht="68.65" hidden="false" customHeight="false" outlineLevel="0" collapsed="false">
      <ns0:c r="A38" s="2" t="n">
        <ns0:v>37</ns0:v>
      </ns0:c>
      <ns0:c r="B38" s="3"/>
      <ns0:c r="C38" s="3"/>
      <ns0:c r="D38" s="2" t="s">
        <ns0:v>116</ns0:v>
      </ns0:c>
      <ns0:c r="E38" s="2" t="s">
        <ns0:v>233</ns0:v>
      </ns0:c>
      <ns0:c r="F38" s="4" t="s">
        <ns0:v>77</ns0:v>
      </ns0:c>
      <ns0:c r="G38" s="4" t="s">
        <ns0:v>234</ns0:v>
      </ns0:c>
      <ns0:c r="H38" s="4"/>
      <ns0:c r="I38" s="4"/>
      <ns0:c r="J38" s="4"/>
      <ns0:c r="K38" s="4"/>
      <ns0:c r="L38" s="5" t="str">
        <ns0:f aca="false">HYPERLINK("https://www.sec.gov/Archives/edgar/data/1769628/000176962826000366/crwv-20260630.htm","10-Q filed 2026-08-12")</ns0:f>
        <ns0:v>10-Q filed 2026-08-12</ns0:v>
      </ns0:c>
      <ns0:c r="M38" s="4" t="s">
        <ns0:v>235</ns0:v>
      </ns0:c>
      <ns0:c r="N38" s="4" t="s">
        <ns0:v>140</ns0:v>
      </ns0:c>
      <ns0:c r="O38" s="4" t="s">
        <ns0:v>83</ns0:v>
      </ns0:c>
      <ns0:c r="P38" s="4" t="s">
        <ns0:v>236</ns0:v>
      </ns0:c>
      <ns0:c r="Q38" s="6" t="s">
        <ns0:v>237</ns0:v>
      </ns0:c>
    </ns0:row>
    <ns0:row r="39" customFormat="false" ht="122.35" hidden="false" customHeight="false" outlineLevel="0" collapsed="false">
      <ns0:c r="A39" s="2" t="n">
        <ns0:v>38</ns0:v>
      </ns0:c>
      <ns0:c r="B39" s="3"/>
      <ns0:c r="C39" s="3"/>
      <ns0:c r="D39" s="2" t="s">
        <ns0:v>116</ns0:v>
      </ns0:c>
      <ns0:c r="E39" s="2" t="s">
        <ns0:v>207</ns0:v>
      </ns0:c>
      <ns0:c r="F39" s="4" t="s">
        <ns0:v>77</ns0:v>
      </ns0:c>
      <ns0:c r="G39" s="4" t="s">
        <ns0:v>238</ns0:v>
      </ns0:c>
      <ns0:c r="H39" s="4"/>
      <ns0:c r="I39" s="4"/>
      <ns0:c r="J39" s="4"/>
      <ns0:c r="K39" s="4"/>
      <ns0:c r="L39" s="5" t="str">
        <ns0:f aca="false">HYPERLINK("https://www.sec.gov/Archives/edgar/data/1769628/000176962826000366/crwv-20260630.htm","10-Q filed 2026-08-12")</ns0:f>
        <ns0:v>10-Q filed 2026-08-12</ns0:v>
      </ns0:c>
      <ns0:c r="M39" s="4" t="s">
        <ns0:v>239</ns0:v>
      </ns0:c>
      <ns0:c r="N39" s="4" t="s">
        <ns0:v>140</ns0:v>
      </ns0:c>
      <ns0:c r="O39" s="4" t="s">
        <ns0:v>27</ns0:v>
      </ns0:c>
      <ns0:c r="P39" s="4" t="s">
        <ns0:v>240</ns0:v>
      </ns0:c>
      <ns0:c r="Q39" s="6" t="s">
        <ns0:v>241</ns0:v>
      </ns0:c>
    </ns0:row>
    <ns0:row r="40" customFormat="false" ht="95.5" hidden="false" customHeight="false" outlineLevel="0" collapsed="false">
      <ns0:c r="A40" s="2" t="n">
        <ns0:v>39</ns0:v>
      </ns0:c>
      <ns0:c r="B40" s="3"/>
      <ns0:c r="C40" s="3"/>
      <ns0:c r="D40" s="2" t="s">
        <ns0:v>116</ns0:v>
      </ns0:c>
      <ns0:c r="E40" s="2" t="s">
        <ns0:v>217</ns0:v>
      </ns0:c>
      <ns0:c r="F40" s="4" t="s">
        <ns0:v>242</ns0:v>
      </ns0:c>
      <ns0:c r="G40" s="4" t="s">
        <ns0:v>243</ns0:v>
      </ns0:c>
      <ns0:c r="H40" s="4"/>
      <ns0:c r="I40" s="4"/>
      <ns0:c r="J40" s="4"/>
      <ns0:c r="K40" s="4"/>
      <ns0:c r="L40" s="5" t="str">
        <ns0:f aca="false">HYPERLINK("https://www.sec.gov/Archives/edgar/data/1297996/000110465926089296/dlr-20260630x10q.htm","10-Q filed 2026-07-31")</ns0:f>
        <ns0:v>10-Q filed 2026-07-31</ns0:v>
      </ns0:c>
      <ns0:c r="M40" s="4" t="s">
        <ns0:v>244</ns0:v>
      </ns0:c>
      <ns0:c r="N40" s="4" t="s">
        <ns0:v>120</ns0:v>
      </ns0:c>
      <ns0:c r="O40" s="4" t="s">
        <ns0:v>83</ns0:v>
      </ns0:c>
      <ns0:c r="P40" s="4" t="s">
        <ns0:v>245</ns0:v>
      </ns0:c>
      <ns0:c r="Q40" s="6" t="s">
        <ns0:v>246</ns0:v>
      </ns0:c>
    </ns0:row>
    <ns0:row r="41" customFormat="false" ht="82.05" hidden="false" customHeight="false" outlineLevel="0" collapsed="false">
      <ns0:c r="A41" s="2" t="n">
        <ns0:v>40</ns0:v>
      </ns0:c>
      <ns0:c r="B41" s="3"/>
      <ns0:c r="C41" s="3"/>
      <ns0:c r="D41" s="2" t="s">
        <ns0:v>116</ns0:v>
      </ns0:c>
      <ns0:c r="E41" s="2" t="s">
        <ns0:v>217</ns0:v>
      </ns0:c>
      <ns0:c r="F41" s="4" t="s">
        <ns0:v>242</ns0:v>
      </ns0:c>
      <ns0:c r="G41" s="4" t="s">
        <ns0:v>247</ns0:v>
      </ns0:c>
      <ns0:c r="H41" s="4"/>
      <ns0:c r="I41" s="4"/>
      <ns0:c r="J41" s="4"/>
      <ns0:c r="K41" s="4"/>
      <ns0:c r="L41" s="5" t="str">
        <ns0:f aca="false">HYPERLINK("https://www.sec.gov/Archives/edgar/data/1297996/000110465926089296/dlr-20260630x10q.htm","10-Q filed 2026-07-31")</ns0:f>
        <ns0:v>10-Q filed 2026-07-31</ns0:v>
      </ns0:c>
      <ns0:c r="M41" s="4" t="s">
        <ns0:v>248</ns0:v>
      </ns0:c>
      <ns0:c r="N41" s="4" t="s">
        <ns0:v>120</ns0:v>
      </ns0:c>
      <ns0:c r="O41" s="4" t="s">
        <ns0:v>83</ns0:v>
      </ns0:c>
      <ns0:c r="P41" s="4" t="s">
        <ns0:v>249</ns0:v>
      </ns0:c>
      <ns0:c r="Q41" s="6" t="s">
        <ns0:v>250</ns0:v>
      </ns0:c>
    </ns0:row>
    <ns0:row r="42" customFormat="false" ht="82.05" hidden="false" customHeight="false" outlineLevel="0" collapsed="false">
      <ns0:c r="A42" s="2" t="n">
        <ns0:v>41</ns0:v>
      </ns0:c>
      <ns0:c r="B42" s="3"/>
      <ns0:c r="C42" s="3"/>
      <ns0:c r="D42" s="2" t="s">
        <ns0:v>116</ns0:v>
      </ns0:c>
      <ns0:c r="E42" s="2" t="s">
        <ns0:v>217</ns0:v>
      </ns0:c>
      <ns0:c r="F42" s="4" t="s">
        <ns0:v>242</ns0:v>
      </ns0:c>
      <ns0:c r="G42" s="4" t="s">
        <ns0:v>251</ns0:v>
      </ns0:c>
      <ns0:c r="H42" s="4"/>
      <ns0:c r="I42" s="4"/>
      <ns0:c r="J42" s="4"/>
      <ns0:c r="K42" s="4"/>
      <ns0:c r="L42" s="5" t="str">
        <ns0:f aca="false">HYPERLINK("https://www.sec.gov/Archives/edgar/data/1297996/000110465926089296/dlr-20260630x10q.htm","10-Q filed 2026-07-31")</ns0:f>
        <ns0:v>10-Q filed 2026-07-31</ns0:v>
      </ns0:c>
      <ns0:c r="M42" s="4" t="s">
        <ns0:v>252</ns0:v>
      </ns0:c>
      <ns0:c r="N42" s="4" t="s">
        <ns0:v>120</ns0:v>
      </ns0:c>
      <ns0:c r="O42" s="4" t="s">
        <ns0:v>83</ns0:v>
      </ns0:c>
      <ns0:c r="P42" s="4" t="s">
        <ns0:v>253</ns0:v>
      </ns0:c>
      <ns0:c r="Q42" s="6" t="s">
        <ns0:v>254</ns0:v>
      </ns0:c>
    </ns0:row>
    <ns0:row r="43" customFormat="false" ht="41.75" hidden="false" customHeight="false" outlineLevel="0" collapsed="false">
      <ns0:c r="A43" s="2" t="n">
        <ns0:v>42</ns0:v>
      </ns0:c>
      <ns0:c r="B43" s="3"/>
      <ns0:c r="C43" s="3"/>
      <ns0:c r="D43" s="2" t="s">
        <ns0:v>116</ns0:v>
      </ns0:c>
      <ns0:c r="E43" s="2" t="s">
        <ns0:v>217</ns0:v>
      </ns0:c>
      <ns0:c r="F43" s="4" t="s">
        <ns0:v>242</ns0:v>
      </ns0:c>
      <ns0:c r="G43" s="4" t="s">
        <ns0:v>255</ns0:v>
      </ns0:c>
      <ns0:c r="H43" s="4"/>
      <ns0:c r="I43" s="4"/>
      <ns0:c r="J43" s="4"/>
      <ns0:c r="K43" s="4"/>
      <ns0:c r="L43" s="5" t="str">
        <ns0:f aca="false">HYPERLINK("https://www.sec.gov/Archives/edgar/data/1297996/000110465926089296/dlr-20260630x10q.htm","10-Q filed 2026-07-31")</ns0:f>
        <ns0:v>10-Q filed 2026-07-31</ns0:v>
      </ns0:c>
      <ns0:c r="M43" s="4" t="s">
        <ns0:v>256</ns0:v>
      </ns0:c>
      <ns0:c r="N43" s="4" t="s">
        <ns0:v>120</ns0:v>
      </ns0:c>
      <ns0:c r="O43" s="4" t="s">
        <ns0:v>83</ns0:v>
      </ns0:c>
      <ns0:c r="P43" s="4" t="s">
        <ns0:v>257</ns0:v>
      </ns0:c>
      <ns0:c r="Q43" s="6" t="s">
        <ns0:v>258</ns0:v>
      </ns0:c>
    </ns0:row>
    <ns0:row r="44" customFormat="false" ht="95.5" hidden="false" customHeight="false" outlineLevel="0" collapsed="false">
      <ns0:c r="A44" s="2" t="n">
        <ns0:v>43</ns0:v>
      </ns0:c>
      <ns0:c r="B44" s="3"/>
      <ns0:c r="C44" s="3"/>
      <ns0:c r="D44" s="2" t="s">
        <ns0:v>116</ns0:v>
      </ns0:c>
      <ns0:c r="E44" s="2" t="s">
        <ns0:v>217</ns0:v>
      </ns0:c>
      <ns0:c r="F44" s="4" t="s">
        <ns0:v>242</ns0:v>
      </ns0:c>
      <ns0:c r="G44" s="4" t="s">
        <ns0:v>259</ns0:v>
      </ns0:c>
      <ns0:c r="H44" s="4"/>
      <ns0:c r="I44" s="4"/>
      <ns0:c r="J44" s="4"/>
      <ns0:c r="K44" s="4"/>
      <ns0:c r="L44" s="5" t="str">
        <ns0:f aca="false">HYPERLINK("https://www.sec.gov/Archives/edgar/data/1297996/000110465926089296/dlr-20260630x10q.htm","10-Q filed 2026-07-31")</ns0:f>
        <ns0:v>10-Q filed 2026-07-31</ns0:v>
      </ns0:c>
      <ns0:c r="M44" s="4" t="s">
        <ns0:v>260</ns0:v>
      </ns0:c>
      <ns0:c r="N44" s="4" t="s">
        <ns0:v>95</ns0:v>
      </ns0:c>
      <ns0:c r="O44" s="4" t="s">
        <ns0:v>83</ns0:v>
      </ns0:c>
      <ns0:c r="P44" s="4" t="s">
        <ns0:v>261</ns0:v>
      </ns0:c>
      <ns0:c r="Q44" s="6" t="s">
        <ns0:v>262</ns0:v>
      </ns0:c>
    </ns0:row>
    <ns0:row r="45" customFormat="false" ht="68.65" hidden="false" customHeight="false" outlineLevel="0" collapsed="false">
      <ns0:c r="A45" s="2" t="n">
        <ns0:v>44</ns0:v>
      </ns0:c>
      <ns0:c r="B45" s="3"/>
      <ns0:c r="C45" s="3"/>
      <ns0:c r="D45" s="2" t="s">
        <ns0:v>116</ns0:v>
      </ns0:c>
      <ns0:c r="E45" s="2" t="s">
        <ns0:v>217</ns0:v>
      </ns0:c>
      <ns0:c r="F45" s="4" t="s">
        <ns0:v>242</ns0:v>
      </ns0:c>
      <ns0:c r="G45" s="4" t="s">
        <ns0:v>263</ns0:v>
      </ns0:c>
      <ns0:c r="H45" s="4"/>
      <ns0:c r="I45" s="4"/>
      <ns0:c r="J45" s="4"/>
      <ns0:c r="K45" s="4"/>
      <ns0:c r="L45" s="5" t="str">
        <ns0:f aca="false">HYPERLINK("https://www.sec.gov/Archives/edgar/data/1297996/000110465926089296/dlr-20260630x10q.htm","10-Q filed 2026-07-31")</ns0:f>
        <ns0:v>10-Q filed 2026-07-31</ns0:v>
      </ns0:c>
      <ns0:c r="M45" s="4" t="s">
        <ns0:v>264</ns0:v>
      </ns0:c>
      <ns0:c r="N45" s="4" t="s">
        <ns0:v>140</ns0:v>
      </ns0:c>
      <ns0:c r="O45" s="4" t="s">
        <ns0:v>83</ns0:v>
      </ns0:c>
      <ns0:c r="P45" s="4" t="s">
        <ns0:v>265</ns0:v>
      </ns0:c>
      <ns0:c r="Q45" s="6" t="s">
        <ns0:v>266</ns0:v>
      </ns0:c>
    </ns0:row>
    <ns0:row r="46" customFormat="false" ht="55.2" hidden="false" customHeight="false" outlineLevel="0" collapsed="false">
      <ns0:c r="A46" s="2" t="n">
        <ns0:v>45</ns0:v>
      </ns0:c>
      <ns0:c r="B46" s="3"/>
      <ns0:c r="C46" s="3"/>
      <ns0:c r="D46" s="2" t="s">
        <ns0:v>116</ns0:v>
      </ns0:c>
      <ns0:c r="E46" s="2" t="s">
        <ns0:v>267</ns0:v>
      </ns0:c>
      <ns0:c r="F46" s="4" t="s">
        <ns0:v>19</ns0:v>
      </ns0:c>
      <ns0:c r="G46" s="4" t="s">
        <ns0:v>268</ns0:v>
      </ns0:c>
      <ns0:c r="H46" s="4"/>
      <ns0:c r="I46" s="4"/>
      <ns0:c r="J46" s="4"/>
      <ns0:c r="K46" s="4"/>
      <ns0:c r="L46" s="5" t="str">
        <ns0:f aca="false">HYPERLINK("https://www.sec.gov/Archives/edgar/data/1326801/000162828026050705/meta-20260630.htm","10-Q filed 2026-07-30")</ns0:f>
        <ns0:v>10-Q filed 2026-07-30</ns0:v>
      </ns0:c>
      <ns0:c r="M46" s="4" t="s">
        <ns0:v>269</ns0:v>
      </ns0:c>
      <ns0:c r="N46" s="4" t="s">
        <ns0:v>120</ns0:v>
      </ns0:c>
      <ns0:c r="O46" s="4" t="s">
        <ns0:v>38</ns0:v>
      </ns0:c>
      <ns0:c r="P46" s="4" t="s">
        <ns0:v>270</ns0:v>
      </ns0:c>
      <ns0:c r="Q46" s="6" t="s">
        <ns0:v>271</ns0:v>
      </ns0:c>
    </ns0:row>
    <ns0:row r="47" customFormat="false" ht="82.05" hidden="false" customHeight="false" outlineLevel="0" collapsed="false">
      <ns0:c r="A47" s="2" t="n">
        <ns0:v>46</ns0:v>
      </ns0:c>
      <ns0:c r="B47" s="3"/>
      <ns0:c r="C47" s="3"/>
      <ns0:c r="D47" s="2" t="s">
        <ns0:v>116</ns0:v>
      </ns0:c>
      <ns0:c r="E47" s="2" t="s">
        <ns0:v>18</ns0:v>
      </ns0:c>
      <ns0:c r="F47" s="4" t="s">
        <ns0:v>19</ns0:v>
      </ns0:c>
      <ns0:c r="G47" s="4" t="s">
        <ns0:v>272</ns0:v>
      </ns0:c>
      <ns0:c r="H47" s="4"/>
      <ns0:c r="I47" s="4"/>
      <ns0:c r="J47" s="4"/>
      <ns0:c r="K47" s="4"/>
      <ns0:c r="L47" s="5" t="str">
        <ns0:f aca="false">HYPERLINK("https://www.sec.gov/Archives/edgar/data/1326801/000162828026050705/meta-20260630.htm","10-Q filed 2026-07-30")</ns0:f>
        <ns0:v>10-Q filed 2026-07-30</ns0:v>
      </ns0:c>
      <ns0:c r="M47" s="4" t="s">
        <ns0:v>273</ns0:v>
      </ns0:c>
      <ns0:c r="N47" s="4" t="s">
        <ns0:v>120</ns0:v>
      </ns0:c>
      <ns0:c r="O47" s="4" t="s">
        <ns0:v>27</ns0:v>
      </ns0:c>
      <ns0:c r="P47" s="4" t="s">
        <ns0:v>274</ns0:v>
      </ns0:c>
      <ns0:c r="Q47" s="6" t="s">
        <ns0:v>275</ns0:v>
      </ns0:c>
    </ns0:row>
    <ns0:row r="48" customFormat="false" ht="68.65" hidden="false" customHeight="false" outlineLevel="0" collapsed="false">
      <ns0:c r="A48" s="2" t="n">
        <ns0:v>47</ns0:v>
      </ns0:c>
      <ns0:c r="B48" s="3"/>
      <ns0:c r="C48" s="3"/>
      <ns0:c r="D48" s="2" t="s">
        <ns0:v>116</ns0:v>
      </ns0:c>
      <ns0:c r="E48" s="2" t="s">
        <ns0:v>18</ns0:v>
      </ns0:c>
      <ns0:c r="F48" s="4" t="s">
        <ns0:v>19</ns0:v>
      </ns0:c>
      <ns0:c r="G48" s="4" t="s">
        <ns0:v>276</ns0:v>
      </ns0:c>
      <ns0:c r="H48" s="4"/>
      <ns0:c r="I48" s="4"/>
      <ns0:c r="J48" s="4"/>
      <ns0:c r="K48" s="4"/>
      <ns0:c r="L48" s="5" t="str">
        <ns0:f aca="false">HYPERLINK("https://www.sec.gov/Archives/edgar/data/1326801/000162828026050705/meta-20260630.htm","10-Q filed 2026-07-30")</ns0:f>
        <ns0:v>10-Q filed 2026-07-30</ns0:v>
      </ns0:c>
      <ns0:c r="M48" s="4" t="s">
        <ns0:v>277</ns0:v>
      </ns0:c>
      <ns0:c r="N48" s="4" t="s">
        <ns0:v>120</ns0:v>
      </ns0:c>
      <ns0:c r="O48" s="4" t="s">
        <ns0:v>27</ns0:v>
      </ns0:c>
      <ns0:c r="P48" s="4" t="s">
        <ns0:v>278</ns0:v>
      </ns0:c>
      <ns0:c r="Q48" s="6" t="s">
        <ns0:v>279</ns0:v>
      </ns0:c>
    </ns0:row>
    <ns0:row r="49" customFormat="false" ht="82.05" hidden="false" customHeight="false" outlineLevel="0" collapsed="false">
      <ns0:c r="A49" s="2" t="n">
        <ns0:v>48</ns0:v>
      </ns0:c>
      <ns0:c r="B49" s="3"/>
      <ns0:c r="C49" s="3"/>
      <ns0:c r="D49" s="2" t="s">
        <ns0:v>116</ns0:v>
      </ns0:c>
      <ns0:c r="E49" s="2" t="s">
        <ns0:v>267</ns0:v>
      </ns0:c>
      <ns0:c r="F49" s="4" t="s">
        <ns0:v>19</ns0:v>
      </ns0:c>
      <ns0:c r="G49" s="4" t="s">
        <ns0:v>280</ns0:v>
      </ns0:c>
      <ns0:c r="H49" s="4"/>
      <ns0:c r="I49" s="4"/>
      <ns0:c r="J49" s="4"/>
      <ns0:c r="K49" s="4"/>
      <ns0:c r="L49" s="5" t="str">
        <ns0:f aca="false">HYPERLINK("https://www.sec.gov/Archives/edgar/data/1326801/000162828026050705/meta-20260630.htm","10-Q filed 2026-07-30")</ns0:f>
        <ns0:v>10-Q filed 2026-07-30</ns0:v>
      </ns0:c>
      <ns0:c r="M49" s="4" t="s">
        <ns0:v>281</ns0:v>
      </ns0:c>
      <ns0:c r="N49" s="4" t="s">
        <ns0:v>120</ns0:v>
      </ns0:c>
      <ns0:c r="O49" s="4" t="s">
        <ns0:v>38</ns0:v>
      </ns0:c>
      <ns0:c r="P49" s="4" t="s">
        <ns0:v>282</ns0:v>
      </ns0:c>
      <ns0:c r="Q49" s="6" t="s">
        <ns0:v>283</ns0:v>
      </ns0:c>
    </ns0:row>
    <ns0:row r="50" customFormat="false" ht="55.2" hidden="false" customHeight="false" outlineLevel="0" collapsed="false">
      <ns0:c r="A50" s="2" t="n">
        <ns0:v>49</ns0:v>
      </ns0:c>
      <ns0:c r="B50" s="3"/>
      <ns0:c r="C50" s="3"/>
      <ns0:c r="D50" s="2" t="s">
        <ns0:v>116</ns0:v>
      </ns0:c>
      <ns0:c r="E50" s="2" t="s">
        <ns0:v>284</ns0:v>
      </ns0:c>
      <ns0:c r="F50" s="4" t="s">
        <ns0:v>19</ns0:v>
      </ns0:c>
      <ns0:c r="G50" s="4" t="s">
        <ns0:v>285</ns0:v>
      </ns0:c>
      <ns0:c r="H50" s="4"/>
      <ns0:c r="I50" s="4"/>
      <ns0:c r="J50" s="4"/>
      <ns0:c r="K50" s="4"/>
      <ns0:c r="L50" s="5" t="str">
        <ns0:f aca="false">HYPERLINK("https://www.sec.gov/Archives/edgar/data/1326801/000162828026050705/meta-20260630.htm","10-Q filed 2026-07-30")</ns0:f>
        <ns0:v>10-Q filed 2026-07-30</ns0:v>
      </ns0:c>
      <ns0:c r="M50" s="4" t="s">
        <ns0:v>286</ns0:v>
      </ns0:c>
      <ns0:c r="N50" s="4" t="s">
        <ns0:v>120</ns0:v>
      </ns0:c>
      <ns0:c r="O50" s="4" t="s">
        <ns0:v>83</ns0:v>
      </ns0:c>
      <ns0:c r="P50" s="4" t="s">
        <ns0:v>287</ns0:v>
      </ns0:c>
      <ns0:c r="Q50" s="6" t="s">
        <ns0:v>288</ns0:v>
      </ns0:c>
    </ns0:row>
    <ns0:row r="51" customFormat="false" ht="41.75" hidden="false" customHeight="false" outlineLevel="0" collapsed="false">
      <ns0:c r="A51" s="2" t="n">
        <ns0:v>50</ns0:v>
      </ns0:c>
      <ns0:c r="B51" s="3"/>
      <ns0:c r="C51" s="3"/>
      <ns0:c r="D51" s="2" t="s">
        <ns0:v>116</ns0:v>
      </ns0:c>
      <ns0:c r="E51" s="2" t="s">
        <ns0:v>289</ns0:v>
      </ns0:c>
      <ns0:c r="F51" s="4" t="s">
        <ns0:v>19</ns0:v>
      </ns0:c>
      <ns0:c r="G51" s="4" t="s">
        <ns0:v>290</ns0:v>
      </ns0:c>
      <ns0:c r="H51" s="4"/>
      <ns0:c r="I51" s="4"/>
      <ns0:c r="J51" s="4"/>
      <ns0:c r="K51" s="4"/>
      <ns0:c r="L51" s="5" t="str">
        <ns0:f aca="false">HYPERLINK("https://s21.q4cdn.com/399680738/files/doc_financials/2026/q2/META-Q2-2026-Earnings-Call-Transcript.pdf","Second Quarter 2026: Earnings Call Transcript")</ns0:f>
        <ns0:v>Second Quarter 2026: Earnings Call Transcript</ns0:v>
      </ns0:c>
      <ns0:c r="M51" s="4" t="s">
        <ns0:v>291</ns0:v>
      </ns0:c>
      <ns0:c r="N51" s="4" t="s">
        <ns0:v>120</ns0:v>
      </ns0:c>
      <ns0:c r="O51" s="4" t="s">
        <ns0:v>141</ns0:v>
      </ns0:c>
      <ns0:c r="P51" s="4" t="s">
        <ns0:v>292</ns0:v>
      </ns0:c>
      <ns0:c r="Q51" s="6" t="s">
        <ns0:v>293</ns0:v>
      </ns0:c>
    </ns0:row>
    <ns0:row r="52" customFormat="false" ht="41.75" hidden="false" customHeight="false" outlineLevel="0" collapsed="false">
      <ns0:c r="A52" s="2" t="n">
        <ns0:v>51</ns0:v>
      </ns0:c>
      <ns0:c r="B52" s="3"/>
      <ns0:c r="C52" s="3"/>
      <ns0:c r="D52" s="2" t="s">
        <ns0:v>116</ns0:v>
      </ns0:c>
      <ns0:c r="E52" s="2" t="s">
        <ns0:v>289</ns0:v>
      </ns0:c>
      <ns0:c r="F52" s="4" t="s">
        <ns0:v>19</ns0:v>
      </ns0:c>
      <ns0:c r="G52" s="4" t="s">
        <ns0:v>294</ns0:v>
      </ns0:c>
      <ns0:c r="H52" s="4"/>
      <ns0:c r="I52" s="4"/>
      <ns0:c r="J52" s="4"/>
      <ns0:c r="K52" s="4"/>
      <ns0:c r="L52" s="5" t="str">
        <ns0:f aca="false">HYPERLINK("https://s21.q4cdn.com/399680738/files/doc_financials/2026/q2/META-Q2-2026-Earnings-Call-Transcript.pdf","Second Quarter 2026: Earnings Call Transcript")</ns0:f>
        <ns0:v>Second Quarter 2026: Earnings Call Transcript</ns0:v>
      </ns0:c>
      <ns0:c r="M52" s="4" t="s">
        <ns0:v>295</ns0:v>
      </ns0:c>
      <ns0:c r="N52" s="4" t="s">
        <ns0:v>120</ns0:v>
      </ns0:c>
      <ns0:c r="O52" s="4" t="s">
        <ns0:v>141</ns0:v>
      </ns0:c>
      <ns0:c r="P52" s="4" t="s">
        <ns0:v>296</ns0:v>
      </ns0:c>
      <ns0:c r="Q52" s="6" t="s">
        <ns0:v>297</ns0:v>
      </ns0:c>
    </ns0:row>
    <ns0:row r="53" customFormat="false" ht="41.75" hidden="false" customHeight="false" outlineLevel="0" collapsed="false">
      <ns0:c r="A53" s="2" t="n">
        <ns0:v>52</ns0:v>
      </ns0:c>
      <ns0:c r="B53" s="3"/>
      <ns0:c r="C53" s="3"/>
      <ns0:c r="D53" s="2" t="s">
        <ns0:v>116</ns0:v>
      </ns0:c>
      <ns0:c r="E53" s="2" t="s">
        <ns0:v>289</ns0:v>
      </ns0:c>
      <ns0:c r="F53" s="4" t="s">
        <ns0:v>19</ns0:v>
      </ns0:c>
      <ns0:c r="G53" s="4" t="s">
        <ns0:v>298</ns0:v>
      </ns0:c>
      <ns0:c r="H53" s="4"/>
      <ns0:c r="I53" s="4"/>
      <ns0:c r="J53" s="4"/>
      <ns0:c r="K53" s="4"/>
      <ns0:c r="L53" s="5" t="str">
        <ns0:f aca="false">HYPERLINK("https://s21.q4cdn.com/399680738/files/doc_financials/2026/q2/META-Q2-2026-Earnings-Call-Transcript.pdf","Second Quarter 2026: Earnings Call Transcript")</ns0:f>
        <ns0:v>Second Quarter 2026: Earnings Call Transcript</ns0:v>
      </ns0:c>
      <ns0:c r="M53" s="4" t="s">
        <ns0:v>299</ns0:v>
      </ns0:c>
      <ns0:c r="N53" s="4" t="s">
        <ns0:v>26</ns0:v>
      </ns0:c>
      <ns0:c r="O53" s="4" t="s">
        <ns0:v>141</ns0:v>
      </ns0:c>
      <ns0:c r="P53" s="4" t="s">
        <ns0:v>300</ns0:v>
      </ns0:c>
      <ns0:c r="Q53" s="6" t="s">
        <ns0:v>301</ns0:v>
      </ns0:c>
    </ns0:row>
    <ns0:row r="54" customFormat="false" ht="41.75" hidden="false" customHeight="false" outlineLevel="0" collapsed="false">
      <ns0:c r="A54" s="2" t="n">
        <ns0:v>53</ns0:v>
      </ns0:c>
      <ns0:c r="B54" s="3"/>
      <ns0:c r="C54" s="3"/>
      <ns0:c r="D54" s="2" t="s">
        <ns0:v>116</ns0:v>
      </ns0:c>
      <ns0:c r="E54" s="2" t="s">
        <ns0:v>289</ns0:v>
      </ns0:c>
      <ns0:c r="F54" s="4" t="s">
        <ns0:v>19</ns0:v>
      </ns0:c>
      <ns0:c r="G54" s="4" t="s">
        <ns0:v>302</ns0:v>
      </ns0:c>
      <ns0:c r="H54" s="4"/>
      <ns0:c r="I54" s="4"/>
      <ns0:c r="J54" s="4"/>
      <ns0:c r="K54" s="4"/>
      <ns0:c r="L54" s="5" t="str">
        <ns0:f aca="false">HYPERLINK("https://s21.q4cdn.com/399680738/files/doc_financials/2026/q2/META-Q2-2026-Earnings-Call-Transcript.pdf","Second Quarter 2026: Earnings Call Transcript")</ns0:f>
        <ns0:v>Second Quarter 2026: Earnings Call Transcript</ns0:v>
      </ns0:c>
      <ns0:c r="M54" s="4" t="s">
        <ns0:v>303</ns0:v>
      </ns0:c>
      <ns0:c r="N54" s="4" t="s">
        <ns0:v>140</ns0:v>
      </ns0:c>
      <ns0:c r="O54" s="4" t="s">
        <ns0:v>141</ns0:v>
      </ns0:c>
      <ns0:c r="P54" s="4" t="s">
        <ns0:v>304</ns0:v>
      </ns0:c>
      <ns0:c r="Q54" s="6" t="s">
        <ns0:v>305</ns0:v>
      </ns0:c>
    </ns0:row>
    <ns0:row r="55" customFormat="false" ht="41.75" hidden="false" customHeight="false" outlineLevel="0" collapsed="false">
      <ns0:c r="A55" s="2" t="n">
        <ns0:v>54</ns0:v>
      </ns0:c>
      <ns0:c r="B55" s="3"/>
      <ns0:c r="C55" s="3"/>
      <ns0:c r="D55" s="2" t="s">
        <ns0:v>116</ns0:v>
      </ns0:c>
      <ns0:c r="E55" s="2" t="s">
        <ns0:v>306</ns0:v>
      </ns0:c>
      <ns0:c r="F55" s="4" t="s">
        <ns0:v>307</ns0:v>
      </ns0:c>
      <ns0:c r="G55" s="4" t="s">
        <ns0:v>308</ns0:v>
      </ns0:c>
      <ns0:c r="H55" s="4"/>
      <ns0:c r="I55" s="4"/>
      <ns0:c r="J55" s="4"/>
      <ns0:c r="K55" s="4"/>
      <ns0:c r="L55" s="5" t="str">
        <ns0:f aca="false">HYPERLINK("https://www.sec.gov/Archives/edgar/data/789019/000119312526323660/msft-20260630.htm","10-K filed 2026-07-29")</ns0:f>
        <ns0:v>10-K filed 2026-07-29</ns0:v>
      </ns0:c>
      <ns0:c r="M55" s="4" t="s">
        <ns0:v>309</ns0:v>
      </ns0:c>
      <ns0:c r="N55" s="4" t="s">
        <ns0:v>120</ns0:v>
      </ns0:c>
      <ns0:c r="O55" s="4" t="s">
        <ns0:v>38</ns0:v>
      </ns0:c>
      <ns0:c r="P55" s="4" t="s">
        <ns0:v>310</ns0:v>
      </ns0:c>
      <ns0:c r="Q55" s="6" t="s">
        <ns0:v>311</ns0:v>
      </ns0:c>
    </ns0:row>
    <ns0:row r="56" customFormat="false" ht="55.2" hidden="false" customHeight="false" outlineLevel="0" collapsed="false">
      <ns0:c r="A56" s="2" t="n">
        <ns0:v>55</ns0:v>
      </ns0:c>
      <ns0:c r="B56" s="3"/>
      <ns0:c r="C56" s="3"/>
      <ns0:c r="D56" s="2" t="s">
        <ns0:v>116</ns0:v>
      </ns0:c>
      <ns0:c r="E56" s="2" t="s">
        <ns0:v>312</ns0:v>
      </ns0:c>
      <ns0:c r="F56" s="4" t="s">
        <ns0:v>307</ns0:v>
      </ns0:c>
      <ns0:c r="G56" s="4" t="s">
        <ns0:v>313</ns0:v>
      </ns0:c>
      <ns0:c r="H56" s="4"/>
      <ns0:c r="I56" s="4"/>
      <ns0:c r="J56" s="4"/>
      <ns0:c r="K56" s="4"/>
      <ns0:c r="L56" s="5" t="str">
        <ns0:f aca="false">HYPERLINK("https://www.sec.gov/Archives/edgar/data/789019/000119312526323660/msft-20260630.htm","10-K filed 2026-07-29")</ns0:f>
        <ns0:v>10-K filed 2026-07-29</ns0:v>
      </ns0:c>
      <ns0:c r="M56" s="4" t="s">
        <ns0:v>314</ns0:v>
      </ns0:c>
      <ns0:c r="N56" s="4" t="s">
        <ns0:v>120</ns0:v>
      </ns0:c>
      <ns0:c r="O56" s="4" t="s">
        <ns0:v>315</ns0:v>
      </ns0:c>
      <ns0:c r="P56" s="4" t="s">
        <ns0:v>316</ns0:v>
      </ns0:c>
      <ns0:c r="Q56" s="6" t="s">
        <ns0:v>317</ns0:v>
      </ns0:c>
    </ns0:row>
    <ns0:row r="57" customFormat="false" ht="108.95" hidden="false" customHeight="false" outlineLevel="0" collapsed="false">
      <ns0:c r="A57" s="2" t="n">
        <ns0:v>56</ns0:v>
      </ns0:c>
      <ns0:c r="B57" s="3"/>
      <ns0:c r="C57" s="3"/>
      <ns0:c r="D57" s="2" t="s">
        <ns0:v>116</ns0:v>
      </ns0:c>
      <ns0:c r="E57" s="2" t="s">
        <ns0:v>318</ns0:v>
      </ns0:c>
      <ns0:c r="F57" s="4" t="s">
        <ns0:v>307</ns0:v>
      </ns0:c>
      <ns0:c r="G57" s="4" t="s">
        <ns0:v>319</ns0:v>
      </ns0:c>
      <ns0:c r="H57" s="4"/>
      <ns0:c r="I57" s="4"/>
      <ns0:c r="J57" s="4"/>
      <ns0:c r="K57" s="4"/>
      <ns0:c r="L57" s="5" t="str">
        <ns0:f aca="false">HYPERLINK("https://www.sec.gov/Archives/edgar/data/789019/000119312526323660/msft-20260630.htm","10-K filed 2026-07-29")</ns0:f>
        <ns0:v>10-K filed 2026-07-29</ns0:v>
      </ns0:c>
      <ns0:c r="M57" s="4" t="s">
        <ns0:v>320</ns0:v>
      </ns0:c>
      <ns0:c r="N57" s="4" t="s">
        <ns0:v>95</ns0:v>
      </ns0:c>
      <ns0:c r="O57" s="4" t="s">
        <ns0:v>38</ns0:v>
      </ns0:c>
      <ns0:c r="P57" s="4" t="s">
        <ns0:v>321</ns0:v>
      </ns0:c>
      <ns0:c r="Q57" s="6" t="s">
        <ns0:v>322</ns0:v>
      </ns0:c>
    </ns0:row>
    <ns0:row r="58" customFormat="false" ht="55.2" hidden="false" customHeight="false" outlineLevel="0" collapsed="false">
      <ns0:c r="A58" s="2" t="n">
        <ns0:v>57</ns0:v>
      </ns0:c>
      <ns0:c r="B58" s="3"/>
      <ns0:c r="C58" s="3"/>
      <ns0:c r="D58" s="2" t="s">
        <ns0:v>116</ns0:v>
      </ns0:c>
      <ns0:c r="E58" s="2" t="s">
        <ns0:v>306</ns0:v>
      </ns0:c>
      <ns0:c r="F58" s="4" t="s">
        <ns0:v>307</ns0:v>
      </ns0:c>
      <ns0:c r="G58" s="4" t="s">
        <ns0:v>323</ns0:v>
      </ns0:c>
      <ns0:c r="H58" s="4"/>
      <ns0:c r="I58" s="4"/>
      <ns0:c r="J58" s="4"/>
      <ns0:c r="K58" s="4"/>
      <ns0:c r="L58" s="5" t="str">
        <ns0:f aca="false">HYPERLINK("https://www.sec.gov/Archives/edgar/data/789019/000119312526323660/msft-20260630.htm","10-K filed 2026-07-29")</ns0:f>
        <ns0:v>10-K filed 2026-07-29</ns0:v>
      </ns0:c>
      <ns0:c r="M58" s="4" t="s">
        <ns0:v>324</ns0:v>
      </ns0:c>
      <ns0:c r="N58" s="4" t="s">
        <ns0:v>95</ns0:v>
      </ns0:c>
      <ns0:c r="O58" s="4" t="s">
        <ns0:v>38</ns0:v>
      </ns0:c>
      <ns0:c r="P58" s="4" t="s">
        <ns0:v>325</ns0:v>
      </ns0:c>
      <ns0:c r="Q58" s="6" t="s">
        <ns0:v>326</ns0:v>
      </ns0:c>
    </ns0:row>
    <ns0:row r="59" customFormat="false" ht="55.2" hidden="false" customHeight="false" outlineLevel="0" collapsed="false">
      <ns0:c r="A59" s="2" t="n">
        <ns0:v>58</ns0:v>
      </ns0:c>
      <ns0:c r="B59" s="3"/>
      <ns0:c r="C59" s="3"/>
      <ns0:c r="D59" s="2" t="s">
        <ns0:v>116</ns0:v>
      </ns0:c>
      <ns0:c r="E59" s="2" t="s">
        <ns0:v>306</ns0:v>
      </ns0:c>
      <ns0:c r="F59" s="4" t="s">
        <ns0:v>307</ns0:v>
      </ns0:c>
      <ns0:c r="G59" s="4" t="s">
        <ns0:v>327</ns0:v>
      </ns0:c>
      <ns0:c r="H59" s="4"/>
      <ns0:c r="I59" s="4"/>
      <ns0:c r="J59" s="4"/>
      <ns0:c r="K59" s="4"/>
      <ns0:c r="L59" s="5" t="str">
        <ns0:f aca="false">HYPERLINK("https://www.sec.gov/Archives/edgar/data/789019/000119312526323660/msft-20260630.htm","10-K filed 2026-07-29")</ns0:f>
        <ns0:v>10-K filed 2026-07-29</ns0:v>
      </ns0:c>
      <ns0:c r="M59" s="4" t="s">
        <ns0:v>328</ns0:v>
      </ns0:c>
      <ns0:c r="N59" s="4" t="s">
        <ns0:v>26</ns0:v>
      </ns0:c>
      <ns0:c r="O59" s="4" t="s">
        <ns0:v>38</ns0:v>
      </ns0:c>
      <ns0:c r="P59" s="4" t="s">
        <ns0:v>329</ns0:v>
      </ns0:c>
      <ns0:c r="Q59" s="6" t="s">
        <ns0:v>330</ns0:v>
      </ns0:c>
    </ns0:row>
    <ns0:row r="60" customFormat="false" ht="68.65" hidden="false" customHeight="false" outlineLevel="0" collapsed="false">
      <ns0:c r="A60" s="2" t="n">
        <ns0:v>59</ns0:v>
      </ns0:c>
      <ns0:c r="B60" s="3"/>
      <ns0:c r="C60" s="3"/>
      <ns0:c r="D60" s="2" t="s">
        <ns0:v>116</ns0:v>
      </ns0:c>
      <ns0:c r="E60" s="2" t="s">
        <ns0:v>331</ns0:v>
      </ns0:c>
      <ns0:c r="F60" s="4" t="s">
        <ns0:v>307</ns0:v>
      </ns0:c>
      <ns0:c r="G60" s="4" t="s">
        <ns0:v>332</ns0:v>
      </ns0:c>
      <ns0:c r="H60" s="4"/>
      <ns0:c r="I60" s="4"/>
      <ns0:c r="J60" s="4"/>
      <ns0:c r="K60" s="4"/>
      <ns0:c r="L60" s="5" t="str">
        <ns0:f aca="false">HYPERLINK("https://www.sec.gov/Archives/edgar/data/789019/000119312526323632/msft-ex99_1.htm","Results release (8-K filed 2026-07-29): msft-ex99_1.htm")</ns0:f>
        <ns0:v>Results release (8-K filed 2026-07-29): msft-ex99_1.htm</ns0:v>
      </ns0:c>
      <ns0:c r="M60" s="4" t="s">
        <ns0:v>333</ns0:v>
      </ns0:c>
      <ns0:c r="N60" s="4" t="s">
        <ns0:v>120</ns0:v>
      </ns0:c>
      <ns0:c r="O60" s="4" t="s">
        <ns0:v>141</ns0:v>
      </ns0:c>
      <ns0:c r="P60" s="4" t="s">
        <ns0:v>334</ns0:v>
      </ns0:c>
      <ns0:c r="Q60" s="6" t="s">
        <ns0:v>335</ns0:v>
      </ns0:c>
    </ns0:row>
    <ns0:row r="61" customFormat="false" ht="55.2" hidden="false" customHeight="false" outlineLevel="0" collapsed="false">
      <ns0:c r="A61" s="2" t="n">
        <ns0:v>60</ns0:v>
      </ns0:c>
      <ns0:c r="B61" s="3"/>
      <ns0:c r="C61" s="3"/>
      <ns0:c r="D61" s="2" t="s">
        <ns0:v>116</ns0:v>
      </ns0:c>
      <ns0:c r="E61" s="2" t="s">
        <ns0:v>331</ns0:v>
      </ns0:c>
      <ns0:c r="F61" s="4" t="s">
        <ns0:v>307</ns0:v>
      </ns0:c>
      <ns0:c r="G61" s="4" t="s">
        <ns0:v>336</ns0:v>
      </ns0:c>
      <ns0:c r="H61" s="4"/>
      <ns0:c r="I61" s="4"/>
      <ns0:c r="J61" s="4"/>
      <ns0:c r="K61" s="4"/>
      <ns0:c r="L61" s="5" t="str">
        <ns0:f aca="false">HYPERLINK("https://www.sec.gov/Archives/edgar/data/789019/000119312526323632/msft-ex99_1.htm","Results release (8-K filed 2026-07-29): msft-ex99_1.htm")</ns0:f>
        <ns0:v>Results release (8-K filed 2026-07-29): msft-ex99_1.htm</ns0:v>
      </ns0:c>
      <ns0:c r="M61" s="4" t="s">
        <ns0:v>337</ns0:v>
      </ns0:c>
      <ns0:c r="N61" s="4" t="s">
        <ns0:v>95</ns0:v>
      </ns0:c>
      <ns0:c r="O61" s="4" t="s">
        <ns0:v>141</ns0:v>
      </ns0:c>
      <ns0:c r="P61" s="4" t="s">
        <ns0:v>338</ns0:v>
      </ns0:c>
      <ns0:c r="Q61" s="6" t="s">
        <ns0:v>339</ns0:v>
      </ns0:c>
    </ns0:row>
    <ns0:row r="62" customFormat="false" ht="55.2" hidden="false" customHeight="false" outlineLevel="0" collapsed="false">
      <ns0:c r="A62" s="2" t="n">
        <ns0:v>61</ns0:v>
      </ns0:c>
      <ns0:c r="B62" s="3"/>
      <ns0:c r="C62" s="3"/>
      <ns0:c r="D62" s="2" t="s">
        <ns0:v>116</ns0:v>
      </ns0:c>
      <ns0:c r="E62" s="2" t="s">
        <ns0:v>331</ns0:v>
      </ns0:c>
      <ns0:c r="F62" s="4" t="s">
        <ns0:v>307</ns0:v>
      </ns0:c>
      <ns0:c r="G62" s="4" t="s">
        <ns0:v>340</ns0:v>
      </ns0:c>
      <ns0:c r="H62" s="4"/>
      <ns0:c r="I62" s="4"/>
      <ns0:c r="J62" s="4"/>
      <ns0:c r="K62" s="4"/>
      <ns0:c r="L62" s="5" t="str">
        <ns0:f aca="false">HYPERLINK("https://www.sec.gov/Archives/edgar/data/789019/000119312526323632/msft-ex99_1.htm","Results release (8-K filed 2026-07-29): msft-ex99_1.htm")</ns0:f>
        <ns0:v>Results release (8-K filed 2026-07-29): msft-ex99_1.htm</ns0:v>
      </ns0:c>
      <ns0:c r="M62" s="4" t="s">
        <ns0:v>341</ns0:v>
      </ns0:c>
      <ns0:c r="N62" s="4" t="s">
        <ns0:v>120</ns0:v>
      </ns0:c>
      <ns0:c r="O62" s="4" t="s">
        <ns0:v>141</ns0:v>
      </ns0:c>
      <ns0:c r="P62" s="4" t="s">
        <ns0:v>342</ns0:v>
      </ns0:c>
      <ns0:c r="Q62" s="6" t="s">
        <ns0:v>343</ns0:v>
      </ns0:c>
    </ns0:row>
    <ns0:row r="63" customFormat="false" ht="41.75" hidden="false" customHeight="false" outlineLevel="0" collapsed="false">
      <ns0:c r="A63" s="2" t="n">
        <ns0:v>62</ns0:v>
      </ns0:c>
      <ns0:c r="B63" s="3"/>
      <ns0:c r="C63" s="3"/>
      <ns0:c r="D63" s="2" t="s">
        <ns0:v>116</ns0:v>
      </ns0:c>
      <ns0:c r="E63" s="2" t="s">
        <ns0:v>331</ns0:v>
      </ns0:c>
      <ns0:c r="F63" s="4" t="s">
        <ns0:v>307</ns0:v>
      </ns0:c>
      <ns0:c r="G63" s="4" t="s">
        <ns0:v>344</ns0:v>
      </ns0:c>
      <ns0:c r="H63" s="4"/>
      <ns0:c r="I63" s="4"/>
      <ns0:c r="J63" s="4"/>
      <ns0:c r="K63" s="4"/>
      <ns0:c r="L63" s="5" t="str">
        <ns0:f aca="false">HYPERLINK("https://www.sec.gov/Archives/edgar/data/789019/000119312526323632/msft-ex99_1.htm","Results release (8-K filed 2026-07-29): msft-ex99_1.htm")</ns0:f>
        <ns0:v>Results release (8-K filed 2026-07-29): msft-ex99_1.htm</ns0:v>
      </ns0:c>
      <ns0:c r="M63" s="4" t="s">
        <ns0:v>345</ns0:v>
      </ns0:c>
      <ns0:c r="N63" s="4" t="s">
        <ns0:v>120</ns0:v>
      </ns0:c>
      <ns0:c r="O63" s="4" t="s">
        <ns0:v>141</ns0:v>
      </ns0:c>
      <ns0:c r="P63" s="4" t="s">
        <ns0:v>346</ns0:v>
      </ns0:c>
      <ns0:c r="Q63" s="6" t="s">
        <ns0:v>347</ns0:v>
      </ns0:c>
    </ns0:row>
    <ns0:row r="64" customFormat="false" ht="68.65" hidden="false" customHeight="false" outlineLevel="0" collapsed="false">
      <ns0:c r="A64" s="2" t="n">
        <ns0:v>63</ns0:v>
      </ns0:c>
      <ns0:c r="B64" s="3"/>
      <ns0:c r="C64" s="3"/>
      <ns0:c r="D64" s="2" t="s">
        <ns0:v>116</ns0:v>
      </ns0:c>
      <ns0:c r="E64" s="2" t="s">
        <ns0:v>331</ns0:v>
      </ns0:c>
      <ns0:c r="F64" s="4" t="s">
        <ns0:v>307</ns0:v>
      </ns0:c>
      <ns0:c r="G64" s="4" t="s">
        <ns0:v>348</ns0:v>
      </ns0:c>
      <ns0:c r="H64" s="4"/>
      <ns0:c r="I64" s="4"/>
      <ns0:c r="J64" s="4"/>
      <ns0:c r="K64" s="4"/>
      <ns0:c r="L64" s="5" t="str">
        <ns0:f aca="false">HYPERLINK("https://www.sec.gov/Archives/edgar/data/789019/000119312526323632/msft-ex99_1.htm","Results release (8-K filed 2026-07-29): msft-ex99_1.htm")</ns0:f>
        <ns0:v>Results release (8-K filed 2026-07-29): msft-ex99_1.htm</ns0:v>
      </ns0:c>
      <ns0:c r="M64" s="4" t="s">
        <ns0:v>349</ns0:v>
      </ns0:c>
      <ns0:c r="N64" s="4" t="s">
        <ns0:v>120</ns0:v>
      </ns0:c>
      <ns0:c r="O64" s="4" t="s">
        <ns0:v>141</ns0:v>
      </ns0:c>
      <ns0:c r="P64" s="4" t="s">
        <ns0:v>350</ns0:v>
      </ns0:c>
      <ns0:c r="Q64" s="6" t="s">
        <ns0:v>351</ns0:v>
      </ns0:c>
    </ns0:row>
    <ns0:row r="65" customFormat="false" ht="55.2" hidden="false" customHeight="false" outlineLevel="0" collapsed="false">
      <ns0:c r="A65" s="2" t="n">
        <ns0:v>64</ns0:v>
      </ns0:c>
      <ns0:c r="B65" s="3"/>
      <ns0:c r="C65" s="3"/>
      <ns0:c r="D65" s="2" t="s">
        <ns0:v>116</ns0:v>
      </ns0:c>
      <ns0:c r="E65" s="2" t="s">
        <ns0:v>331</ns0:v>
      </ns0:c>
      <ns0:c r="F65" s="4" t="s">
        <ns0:v>307</ns0:v>
      </ns0:c>
      <ns0:c r="G65" s="4" t="s">
        <ns0:v>352</ns0:v>
      </ns0:c>
      <ns0:c r="H65" s="4"/>
      <ns0:c r="I65" s="4"/>
      <ns0:c r="J65" s="4"/>
      <ns0:c r="K65" s="4"/>
      <ns0:c r="L65" s="5" t="str">
        <ns0:f aca="false">HYPERLINK("https://www.sec.gov/Archives/edgar/data/789019/000119312526323632/msft-ex99_1.htm","Results release (8-K filed 2026-07-29): msft-ex99_1.htm")</ns0:f>
        <ns0:v>Results release (8-K filed 2026-07-29): msft-ex99_1.htm</ns0:v>
      </ns0:c>
      <ns0:c r="M65" s="4" t="s">
        <ns0:v>353</ns0:v>
      </ns0:c>
      <ns0:c r="N65" s="4" t="s">
        <ns0:v>95</ns0:v>
      </ns0:c>
      <ns0:c r="O65" s="4" t="s">
        <ns0:v>141</ns0:v>
      </ns0:c>
      <ns0:c r="P65" s="4" t="s">
        <ns0:v>354</ns0:v>
      </ns0:c>
      <ns0:c r="Q65" s="6" t="s">
        <ns0:v>355</ns0:v>
      </ns0:c>
    </ns0:row>
    <ns0:row r="66" customFormat="false" ht="68.65" hidden="false" customHeight="false" outlineLevel="0" collapsed="false">
      <ns0:c r="A66" s="2" t="n">
        <ns0:v>65</ns0:v>
      </ns0:c>
      <ns0:c r="B66" s="3"/>
      <ns0:c r="C66" s="3"/>
      <ns0:c r="D66" s="2" t="s">
        <ns0:v>116</ns0:v>
      </ns0:c>
      <ns0:c r="E66" s="2" t="s">
        <ns0:v>356</ns0:v>
      </ns0:c>
      <ns0:c r="F66" s="4" t="s">
        <ns0:v>307</ns0:v>
      </ns0:c>
      <ns0:c r="G66" s="4" t="s">
        <ns0:v>357</ns0:v>
      </ns0:c>
      <ns0:c r="H66" s="4"/>
      <ns0:c r="I66" s="4"/>
      <ns0:c r="J66" s="4"/>
      <ns0:c r="K66" s="4"/>
      <ns0:c r="L66" s="5" t="str">
        <ns0:f aca="false">HYPERLINK("https://www.microsoft.com/en-us/investor/events/fy-2026/earnings-fy-2026-q4","Microsoft earnings call transcript")</ns0:f>
        <ns0:v>Microsoft earnings call transcript</ns0:v>
      </ns0:c>
      <ns0:c r="M66" s="4" t="s">
        <ns0:v>358</ns0:v>
      </ns0:c>
      <ns0:c r="N66" s="4" t="s">
        <ns0:v>95</ns0:v>
      </ns0:c>
      <ns0:c r="O66" s="4" t="s">
        <ns0:v>359</ns0:v>
      </ns0:c>
      <ns0:c r="P66" s="4" t="s">
        <ns0:v>360</ns0:v>
      </ns0:c>
      <ns0:c r="Q66" s="6" t="s">
        <ns0:v>361</ns0:v>
      </ns0:c>
    </ns0:row>
    <ns0:row r="67" customFormat="false" ht="68.65" hidden="false" customHeight="false" outlineLevel="0" collapsed="false">
      <ns0:c r="A67" s="2" t="n">
        <ns0:v>66</ns0:v>
      </ns0:c>
      <ns0:c r="B67" s="3"/>
      <ns0:c r="C67" s="3"/>
      <ns0:c r="D67" s="2" t="s">
        <ns0:v>116</ns0:v>
      </ns0:c>
      <ns0:c r="E67" s="2" t="s">
        <ns0:v>362</ns0:v>
      </ns0:c>
      <ns0:c r="F67" s="4" t="s">
        <ns0:v>307</ns0:v>
      </ns0:c>
      <ns0:c r="G67" s="4" t="s">
        <ns0:v>363</ns0:v>
      </ns0:c>
      <ns0:c r="H67" s="4"/>
      <ns0:c r="I67" s="4"/>
      <ns0:c r="J67" s="4"/>
      <ns0:c r="K67" s="4"/>
      <ns0:c r="L67" s="5" t="str">
        <ns0:f aca="false">HYPERLINK("https://www.microsoft.com/en-us/investor/events/fy-2026/earnings-fy-2026-q4","Microsoft earnings call transcript")</ns0:f>
        <ns0:v>Microsoft earnings call transcript</ns0:v>
      </ns0:c>
      <ns0:c r="M67" s="4" t="s">
        <ns0:v>364</ns0:v>
      </ns0:c>
      <ns0:c r="N67" s="4" t="s">
        <ns0:v>95</ns0:v>
      </ns0:c>
      <ns0:c r="O67" s="4" t="s">
        <ns0:v>141</ns0:v>
      </ns0:c>
      <ns0:c r="P67" s="4" t="s">
        <ns0:v>365</ns0:v>
      </ns0:c>
      <ns0:c r="Q67" s="6" t="s">
        <ns0:v>366</ns0:v>
      </ns0:c>
    </ns0:row>
    <ns0:row r="68" customFormat="false" ht="55.2" hidden="false" customHeight="false" outlineLevel="0" collapsed="false">
      <ns0:c r="A68" s="2" t="n">
        <ns0:v>67</ns0:v>
      </ns0:c>
      <ns0:c r="B68" s="3"/>
      <ns0:c r="C68" s="3"/>
      <ns0:c r="D68" s="2" t="s">
        <ns0:v>116</ns0:v>
      </ns0:c>
      <ns0:c r="E68" s="2" t="s">
        <ns0:v>356</ns0:v>
      </ns0:c>
      <ns0:c r="F68" s="4" t="s">
        <ns0:v>307</ns0:v>
      </ns0:c>
      <ns0:c r="G68" s="4" t="s">
        <ns0:v>367</ns0:v>
      </ns0:c>
      <ns0:c r="H68" s="4"/>
      <ns0:c r="I68" s="4"/>
      <ns0:c r="J68" s="4"/>
      <ns0:c r="K68" s="4"/>
      <ns0:c r="L68" s="5" t="str">
        <ns0:f aca="false">HYPERLINK("https://www.microsoft.com/en-us/investor/events/fy-2026/earnings-fy-2026-q4","Microsoft earnings call transcript")</ns0:f>
        <ns0:v>Microsoft earnings call transcript</ns0:v>
      </ns0:c>
      <ns0:c r="M68" s="4" t="s">
        <ns0:v>368</ns0:v>
      </ns0:c>
      <ns0:c r="N68" s="4" t="s">
        <ns0:v>140</ns0:v>
      </ns0:c>
      <ns0:c r="O68" s="4" t="s">
        <ns0:v>359</ns0:v>
      </ns0:c>
      <ns0:c r="P68" s="4" t="s">
        <ns0:v>369</ns0:v>
      </ns0:c>
      <ns0:c r="Q68" s="6" t="s">
        <ns0:v>370</ns0:v>
      </ns0:c>
    </ns0:row>
    <ns0:row r="69" customFormat="false" ht="68.65" hidden="false" customHeight="false" outlineLevel="0" collapsed="false">
      <ns0:c r="A69" s="2" t="n">
        <ns0:v>68</ns0:v>
      </ns0:c>
      <ns0:c r="B69" s="3"/>
      <ns0:c r="C69" s="3"/>
      <ns0:c r="D69" s="2" t="s">
        <ns0:v>116</ns0:v>
      </ns0:c>
      <ns0:c r="E69" s="2" t="s">
        <ns0:v>356</ns0:v>
      </ns0:c>
      <ns0:c r="F69" s="4" t="s">
        <ns0:v>307</ns0:v>
      </ns0:c>
      <ns0:c r="G69" s="4" t="s">
        <ns0:v>371</ns0:v>
      </ns0:c>
      <ns0:c r="H69" s="4"/>
      <ns0:c r="I69" s="4"/>
      <ns0:c r="J69" s="4"/>
      <ns0:c r="K69" s="4"/>
      <ns0:c r="L69" s="5" t="str">
        <ns0:f aca="false">HYPERLINK("https://www.microsoft.com/en-us/investor/events/fy-2026/earnings-fy-2026-q4","Microsoft earnings call transcript")</ns0:f>
        <ns0:v>Microsoft earnings call transcript</ns0:v>
      </ns0:c>
      <ns0:c r="M69" s="4" t="s">
        <ns0:v>372</ns0:v>
      </ns0:c>
      <ns0:c r="N69" s="4" t="s">
        <ns0:v>140</ns0:v>
      </ns0:c>
      <ns0:c r="O69" s="4" t="s">
        <ns0:v>359</ns0:v>
      </ns0:c>
      <ns0:c r="P69" s="4" t="s">
        <ns0:v>373</ns0:v>
      </ns0:c>
      <ns0:c r="Q69" s="6" t="s">
        <ns0:v>374</ns0:v>
      </ns0:c>
    </ns0:row>
    <ns0:row r="70" customFormat="false" ht="95.5" hidden="false" customHeight="false" outlineLevel="0" collapsed="false">
      <ns0:c r="A70" s="2" t="n">
        <ns0:v>69</ns0:v>
      </ns0:c>
      <ns0:c r="B70" s="3"/>
      <ns0:c r="C70" s="3"/>
      <ns0:c r="D70" s="2" t="s">
        <ns0:v>116</ns0:v>
      </ns0:c>
      <ns0:c r="E70" s="2" t="s">
        <ns0:v>375</ns0:v>
      </ns0:c>
      <ns0:c r="F70" s="4" t="s">
        <ns0:v>376</ns0:v>
      </ns0:c>
      <ns0:c r="G70" s="4" t="s">
        <ns0:v>377</ns0:v>
      </ns0:c>
      <ns0:c r="H70" s="4"/>
      <ns0:c r="I70" s="4"/>
      <ns0:c r="J70" s="4"/>
      <ns0:c r="K70" s="4"/>
      <ns0:c r="L70" s="5" t="str">
        <ns0:f aca="false">HYPERLINK("https://www.sec.gov/Archives/edgar/data/1513845/000110465926094844/nbis-20260812xex99d2.htm","6-K filed 2026-08-12: nbis-20260812xex99d2.htm")</ns0:f>
        <ns0:v>6-K filed 2026-08-12: nbis-20260812xex99d2.htm</ns0:v>
      </ns0:c>
      <ns0:c r="M70" s="4" t="s">
        <ns0:v>378</ns0:v>
      </ns0:c>
      <ns0:c r="N70" s="4" t="s">
        <ns0:v>210</ns0:v>
      </ns0:c>
      <ns0:c r="O70" s="4" t="s">
        <ns0:v>83</ns0:v>
      </ns0:c>
      <ns0:c r="P70" s="4" t="s">
        <ns0:v>379</ns0:v>
      </ns0:c>
      <ns0:c r="Q70" s="6" t="s">
        <ns0:v>380</ns0:v>
      </ns0:c>
    </ns0:row>
    <ns0:row r="71" customFormat="false" ht="41.75" hidden="false" customHeight="false" outlineLevel="0" collapsed="false">
      <ns0:c r="A71" s="2" t="n">
        <ns0:v>70</ns0:v>
      </ns0:c>
      <ns0:c r="B71" s="3"/>
      <ns0:c r="C71" s="3"/>
      <ns0:c r="D71" s="2" t="s">
        <ns0:v>116</ns0:v>
      </ns0:c>
      <ns0:c r="E71" s="2" t="s">
        <ns0:v>222</ns0:v>
      </ns0:c>
      <ns0:c r="F71" s="4" t="s">
        <ns0:v>376</ns0:v>
      </ns0:c>
      <ns0:c r="G71" s="4" t="s">
        <ns0:v>255</ns0:v>
      </ns0:c>
      <ns0:c r="H71" s="4"/>
      <ns0:c r="I71" s="4"/>
      <ns0:c r="J71" s="4"/>
      <ns0:c r="K71" s="4"/>
      <ns0:c r="L71" s="5" t="str">
        <ns0:f aca="false">HYPERLINK("https://www.sec.gov/Archives/edgar/data/1513845/000110465926094844/nbis-20260812xex99d2.htm","6-K filed 2026-08-12: nbis-20260812xex99d2.htm")</ns0:f>
        <ns0:v>6-K filed 2026-08-12: nbis-20260812xex99d2.htm</ns0:v>
      </ns0:c>
      <ns0:c r="M71" s="4" t="s">
        <ns0:v>381</ns0:v>
      </ns0:c>
      <ns0:c r="N71" s="4" t="s">
        <ns0:v>210</ns0:v>
      </ns0:c>
      <ns0:c r="O71" s="4" t="s">
        <ns0:v>225</ns0:v>
      </ns0:c>
      <ns0:c r="P71" s="4" t="s">
        <ns0:v>382</ns0:v>
      </ns0:c>
      <ns0:c r="Q71" s="6" t="s">
        <ns0:v>383</ns0:v>
      </ns0:c>
    </ns0:row>
    <ns0:row r="72" customFormat="false" ht="55.2" hidden="false" customHeight="false" outlineLevel="0" collapsed="false">
      <ns0:c r="A72" s="2" t="n">
        <ns0:v>71</ns0:v>
      </ns0:c>
      <ns0:c r="B72" s="3"/>
      <ns0:c r="C72" s="3"/>
      <ns0:c r="D72" s="2" t="s">
        <ns0:v>116</ns0:v>
      </ns0:c>
      <ns0:c r="E72" s="2" t="s">
        <ns0:v>384</ns0:v>
      </ns0:c>
      <ns0:c r="F72" s="4" t="s">
        <ns0:v>376</ns0:v>
      </ns0:c>
      <ns0:c r="G72" s="4" t="s">
        <ns0:v>385</ns0:v>
      </ns0:c>
      <ns0:c r="H72" s="4"/>
      <ns0:c r="I72" s="4"/>
      <ns0:c r="J72" s="4"/>
      <ns0:c r="K72" s="4"/>
      <ns0:c r="L72" s="5" t="str">
        <ns0:f aca="false">HYPERLINK("https://www.sec.gov/Archives/edgar/data/1513845/000110465926094844/nbis-20260812xex99d2.htm","6-K filed 2026-08-12: nbis-20260812xex99d2.htm")</ns0:f>
        <ns0:v>6-K filed 2026-08-12: nbis-20260812xex99d2.htm</ns0:v>
      </ns0:c>
      <ns0:c r="M72" s="4" t="s">
        <ns0:v>386</ns0:v>
      </ns0:c>
      <ns0:c r="N72" s="4" t="s">
        <ns0:v>95</ns0:v>
      </ns0:c>
      <ns0:c r="O72" s="4" t="s">
        <ns0:v>225</ns0:v>
      </ns0:c>
      <ns0:c r="P72" s="4" t="s">
        <ns0:v>387</ns0:v>
      </ns0:c>
      <ns0:c r="Q72" s="6" t="s">
        <ns0:v>388</ns0:v>
      </ns0:c>
    </ns0:row>
    <ns0:row r="73" customFormat="false" ht="95.5" hidden="false" customHeight="false" outlineLevel="0" collapsed="false">
      <ns0:c r="A73" s="2" t="n">
        <ns0:v>72</ns0:v>
      </ns0:c>
      <ns0:c r="B73" s="3"/>
      <ns0:c r="C73" s="3"/>
      <ns0:c r="D73" s="2" t="s">
        <ns0:v>116</ns0:v>
      </ns0:c>
      <ns0:c r="E73" s="2" t="s">
        <ns0:v>389</ns0:v>
      </ns0:c>
      <ns0:c r="F73" s="4" t="s">
        <ns0:v>376</ns0:v>
      </ns0:c>
      <ns0:c r="G73" s="4" t="s">
        <ns0:v>390</ns0:v>
      </ns0:c>
      <ns0:c r="H73" s="4"/>
      <ns0:c r="I73" s="4"/>
      <ns0:c r="J73" s="4"/>
      <ns0:c r="K73" s="4"/>
      <ns0:c r="L73" s="5" t="str">
        <ns0:f aca="false">HYPERLINK("https://www.sec.gov/Archives/edgar/data/1513845/000110465926094844/nbis-20260812xex99d2.htm","6-K filed 2026-08-12: nbis-20260812xex99d2.htm")</ns0:f>
        <ns0:v>6-K filed 2026-08-12: nbis-20260812xex99d2.htm</ns0:v>
      </ns0:c>
      <ns0:c r="M73" s="4" t="s">
        <ns0:v>391</ns0:v>
      </ns0:c>
      <ns0:c r="N73" s="4" t="s">
        <ns0:v>120</ns0:v>
      </ns0:c>
      <ns0:c r="O73" s="4" t="s">
        <ns0:v>83</ns0:v>
      </ns0:c>
      <ns0:c r="P73" s="4" t="s">
        <ns0:v>392</ns0:v>
      </ns0:c>
      <ns0:c r="Q73" s="6" t="s">
        <ns0:v>393</ns0:v>
      </ns0:c>
    </ns0:row>
    <ns0:row r="74" customFormat="false" ht="82.05" hidden="false" customHeight="false" outlineLevel="0" collapsed="false">
      <ns0:c r="A74" s="2" t="n">
        <ns0:v>73</ns0:v>
      </ns0:c>
      <ns0:c r="B74" s="3"/>
      <ns0:c r="C74" s="3"/>
      <ns0:c r="D74" s="2" t="s">
        <ns0:v>116</ns0:v>
      </ns0:c>
      <ns0:c r="E74" s="2" t="s">
        <ns0:v>384</ns0:v>
      </ns0:c>
      <ns0:c r="F74" s="4" t="s">
        <ns0:v>376</ns0:v>
      </ns0:c>
      <ns0:c r="G74" s="4" t="s">
        <ns0:v>394</ns0:v>
      </ns0:c>
      <ns0:c r="H74" s="4"/>
      <ns0:c r="I74" s="4"/>
      <ns0:c r="J74" s="4"/>
      <ns0:c r="K74" s="4"/>
      <ns0:c r="L74" s="5" t="str">
        <ns0:f aca="false">HYPERLINK("https://www.sec.gov/Archives/edgar/data/1513845/000110465926094844/nbis-20260812xex99d2.htm","6-K filed 2026-08-12: nbis-20260812xex99d2.htm")</ns0:f>
        <ns0:v>6-K filed 2026-08-12: nbis-20260812xex99d2.htm</ns0:v>
      </ns0:c>
      <ns0:c r="M74" s="4" t="s">
        <ns0:v>395</ns0:v>
      </ns0:c>
      <ns0:c r="N74" s="4" t="s">
        <ns0:v>26</ns0:v>
      </ns0:c>
      <ns0:c r="O74" s="4" t="s">
        <ns0:v>225</ns0:v>
      </ns0:c>
      <ns0:c r="P74" s="4" t="s">
        <ns0:v>396</ns0:v>
      </ns0:c>
      <ns0:c r="Q74" s="6" t="s">
        <ns0:v>397</ns0:v>
      </ns0:c>
    </ns0:row>
    <ns0:row r="75" customFormat="false" ht="95.5" hidden="false" customHeight="false" outlineLevel="0" collapsed="false">
      <ns0:c r="A75" s="2" t="n">
        <ns0:v>74</ns0:v>
      </ns0:c>
      <ns0:c r="B75" s="3"/>
      <ns0:c r="C75" s="3"/>
      <ns0:c r="D75" s="2" t="s">
        <ns0:v>116</ns0:v>
      </ns0:c>
      <ns0:c r="E75" s="2" t="s">
        <ns0:v>222</ns0:v>
      </ns0:c>
      <ns0:c r="F75" s="4" t="s">
        <ns0:v>376</ns0:v>
      </ns0:c>
      <ns0:c r="G75" s="4" t="s">
        <ns0:v>398</ns0:v>
      </ns0:c>
      <ns0:c r="H75" s="4"/>
      <ns0:c r="I75" s="4"/>
      <ns0:c r="J75" s="4"/>
      <ns0:c r="K75" s="4"/>
      <ns0:c r="L75" s="5" t="str">
        <ns0:f aca="false">HYPERLINK("https://www.sec.gov/Archives/edgar/data/1513845/000110465926094844/nbis-20260812xex99d2.htm","6-K filed 2026-08-12: nbis-20260812xex99d2.htm")</ns0:f>
        <ns0:v>6-K filed 2026-08-12: nbis-20260812xex99d2.htm</ns0:v>
      </ns0:c>
      <ns0:c r="M75" s="4" t="s">
        <ns0:v>399</ns0:v>
      </ns0:c>
      <ns0:c r="N75" s="4" t="s">
        <ns0:v>140</ns0:v>
      </ns0:c>
      <ns0:c r="O75" s="4" t="s">
        <ns0:v>225</ns0:v>
      </ns0:c>
      <ns0:c r="P75" s="4" t="s">
        <ns0:v>400</ns0:v>
      </ns0:c>
      <ns0:c r="Q75" s="6" t="s">
        <ns0:v>401</ns0:v>
      </ns0:c>
    </ns0:row>
    <ns0:row r="76" customFormat="false" ht="41.75" hidden="false" customHeight="false" outlineLevel="0" collapsed="false">
      <ns0:c r="A76" s="2" t="n">
        <ns0:v>75</ns0:v>
      </ns0:c>
      <ns0:c r="B76" s="3"/>
      <ns0:c r="C76" s="3"/>
      <ns0:c r="D76" s="2" t="s">
        <ns0:v>116</ns0:v>
      </ns0:c>
      <ns0:c r="E76" s="2" t="s">
        <ns0:v>384</ns0:v>
      </ns0:c>
      <ns0:c r="F76" s="4" t="s">
        <ns0:v>376</ns0:v>
      </ns0:c>
      <ns0:c r="G76" s="4" t="s">
        <ns0:v>402</ns0:v>
      </ns0:c>
      <ns0:c r="H76" s="4"/>
      <ns0:c r="I76" s="4"/>
      <ns0:c r="J76" s="4"/>
      <ns0:c r="K76" s="4"/>
      <ns0:c r="L76" s="5" t="str">
        <ns0:f aca="false">HYPERLINK("https://www.sec.gov/Archives/edgar/data/1513845/000110465926094844/nbis-20260812xex99d2.htm","6-K filed 2026-08-12: nbis-20260812xex99d2.htm")</ns0:f>
        <ns0:v>6-K filed 2026-08-12: nbis-20260812xex99d2.htm</ns0:v>
      </ns0:c>
      <ns0:c r="M76" s="4" t="s">
        <ns0:v>403</ns0:v>
      </ns0:c>
      <ns0:c r="N76" s="4" t="s">
        <ns0:v>26</ns0:v>
      </ns0:c>
      <ns0:c r="O76" s="4" t="s">
        <ns0:v>225</ns0:v>
      </ns0:c>
      <ns0:c r="P76" s="4" t="s">
        <ns0:v>404</ns0:v>
      </ns0:c>
      <ns0:c r="Q76" s="6" t="s">
        <ns0:v>405</ns0:v>
      </ns0:c>
    </ns0:row>
    <ns0:row r="77" customFormat="false" ht="82.05" hidden="false" customHeight="false" outlineLevel="0" collapsed="false">
      <ns0:c r="A77" s="2" t="n">
        <ns0:v>76</ns0:v>
      </ns0:c>
      <ns0:c r="B77" s="3"/>
      <ns0:c r="C77" s="3"/>
      <ns0:c r="D77" s="2" t="s">
        <ns0:v>116</ns0:v>
      </ns0:c>
      <ns0:c r="E77" s="2" t="s">
        <ns0:v>384</ns0:v>
      </ns0:c>
      <ns0:c r="F77" s="4" t="s">
        <ns0:v>376</ns0:v>
      </ns0:c>
      <ns0:c r="G77" s="4" t="s">
        <ns0:v>406</ns0:v>
      </ns0:c>
      <ns0:c r="H77" s="4"/>
      <ns0:c r="I77" s="4"/>
      <ns0:c r="J77" s="4"/>
      <ns0:c r="K77" s="4"/>
      <ns0:c r="L77" s="5" t="str">
        <ns0:f aca="false">HYPERLINK("https://www.sec.gov/Archives/edgar/data/1513845/000110465926094844/nbis-20260812xex99d2.htm","6-K filed 2026-08-12: nbis-20260812xex99d2.htm")</ns0:f>
        <ns0:v>6-K filed 2026-08-12: nbis-20260812xex99d2.htm</ns0:v>
      </ns0:c>
      <ns0:c r="M77" s="4" t="s">
        <ns0:v>407</ns0:v>
      </ns0:c>
      <ns0:c r="N77" s="4" t="s">
        <ns0:v>140</ns0:v>
      </ns0:c>
      <ns0:c r="O77" s="4" t="s">
        <ns0:v>225</ns0:v>
      </ns0:c>
      <ns0:c r="P77" s="4" t="s">
        <ns0:v>408</ns0:v>
      </ns0:c>
      <ns0:c r="Q77" s="6" t="s">
        <ns0:v>409</ns0:v>
      </ns0:c>
    </ns0:row>
    <ns0:row r="78" customFormat="false" ht="55.2" hidden="false" customHeight="false" outlineLevel="0" collapsed="false">
      <ns0:c r="A78" s="2" t="n">
        <ns0:v>77</ns0:v>
      </ns0:c>
      <ns0:c r="B78" s="3"/>
      <ns0:c r="C78" s="3"/>
      <ns0:c r="D78" s="2" t="s">
        <ns0:v>116</ns0:v>
      </ns0:c>
      <ns0:c r="E78" s="2" t="s">
        <ns0:v>410</ns0:v>
      </ns0:c>
      <ns0:c r="F78" s="4" t="s">
        <ns0:v>411</ns0:v>
      </ns0:c>
      <ns0:c r="G78" s="4" t="s">
        <ns0:v>412</ns0:v>
      </ns0:c>
      <ns0:c r="H78" s="4"/>
      <ns0:c r="I78" s="4"/>
      <ns0:c r="J78" s="4"/>
      <ns0:c r="K78" s="4"/>
      <ns0:c r="L78" s="5" t="str">
        <ns0:f aca="false">HYPERLINK("https://www.sec.gov/Archives/edgar/data/1045810/000104581026000075/nvda-20260726.htm","10-Q filed 2026-08-26")</ns0:f>
        <ns0:v>10-Q filed 2026-08-26</ns0:v>
      </ns0:c>
      <ns0:c r="M78" s="4" t="s">
        <ns0:v>413</ns0:v>
      </ns0:c>
      <ns0:c r="N78" s="4" t="s">
        <ns0:v>120</ns0:v>
      </ns0:c>
      <ns0:c r="O78" s="4" t="s">
        <ns0:v>103</ns0:v>
      </ns0:c>
      <ns0:c r="P78" s="4" t="s">
        <ns0:v>414</ns0:v>
      </ns0:c>
      <ns0:c r="Q78" s="6" t="s">
        <ns0:v>415</ns0:v>
      </ns0:c>
    </ns0:row>
    <ns0:row r="79" customFormat="false" ht="82.05" hidden="false" customHeight="false" outlineLevel="0" collapsed="false">
      <ns0:c r="A79" s="2" t="n">
        <ns0:v>78</ns0:v>
      </ns0:c>
      <ns0:c r="B79" s="3"/>
      <ns0:c r="C79" s="3"/>
      <ns0:c r="D79" s="2" t="s">
        <ns0:v>116</ns0:v>
      </ns0:c>
      <ns0:c r="E79" s="2" t="s">
        <ns0:v>416</ns0:v>
      </ns0:c>
      <ns0:c r="F79" s="4" t="s">
        <ns0:v>411</ns0:v>
      </ns0:c>
      <ns0:c r="G79" s="4" t="s">
        <ns0:v>417</ns0:v>
      </ns0:c>
      <ns0:c r="H79" s="4"/>
      <ns0:c r="I79" s="4"/>
      <ns0:c r="J79" s="4"/>
      <ns0:c r="K79" s="4"/>
      <ns0:c r="L79" s="5" t="str">
        <ns0:f aca="false">HYPERLINK("https://www.sec.gov/Archives/edgar/data/1045810/000104581026000075/nvda-20260726.htm","10-Q filed 2026-08-26")</ns0:f>
        <ns0:v>10-Q filed 2026-08-26</ns0:v>
      </ns0:c>
      <ns0:c r="M79" s="4" t="s">
        <ns0:v>418</ns0:v>
      </ns0:c>
      <ns0:c r="N79" s="4" t="s">
        <ns0:v>120</ns0:v>
      </ns0:c>
      <ns0:c r="O79" s="4" t="s">
        <ns0:v>315</ns0:v>
      </ns0:c>
      <ns0:c r="P79" s="4" t="s">
        <ns0:v>419</ns0:v>
      </ns0:c>
      <ns0:c r="Q79" s="6" t="s">
        <ns0:v>420</ns0:v>
      </ns0:c>
    </ns0:row>
    <ns0:row r="80" customFormat="false" ht="95.5" hidden="false" customHeight="false" outlineLevel="0" collapsed="false">
      <ns0:c r="A80" s="2" t="n">
        <ns0:v>79</ns0:v>
      </ns0:c>
      <ns0:c r="B80" s="3"/>
      <ns0:c r="C80" s="3"/>
      <ns0:c r="D80" s="2" t="s">
        <ns0:v>116</ns0:v>
      </ns0:c>
      <ns0:c r="E80" s="2" t="s">
        <ns0:v>416</ns0:v>
      </ns0:c>
      <ns0:c r="F80" s="4" t="s">
        <ns0:v>411</ns0:v>
      </ns0:c>
      <ns0:c r="G80" s="4" t="s">
        <ns0:v>421</ns0:v>
      </ns0:c>
      <ns0:c r="H80" s="4"/>
      <ns0:c r="I80" s="4"/>
      <ns0:c r="J80" s="4"/>
      <ns0:c r="K80" s="4"/>
      <ns0:c r="L80" s="5" t="str">
        <ns0:f aca="false">HYPERLINK("https://www.sec.gov/Archives/edgar/data/1045810/000104581026000075/nvda-20260726.htm","10-Q filed 2026-08-26")</ns0:f>
        <ns0:v>10-Q filed 2026-08-26</ns0:v>
      </ns0:c>
      <ns0:c r="M80" s="4" t="s">
        <ns0:v>422</ns0:v>
      </ns0:c>
      <ns0:c r="N80" s="4" t="s">
        <ns0:v>120</ns0:v>
      </ns0:c>
      <ns0:c r="O80" s="4" t="s">
        <ns0:v>315</ns0:v>
      </ns0:c>
      <ns0:c r="P80" s="4" t="s">
        <ns0:v>423</ns0:v>
      </ns0:c>
      <ns0:c r="Q80" s="6" t="s">
        <ns0:v>424</ns0:v>
      </ns0:c>
    </ns0:row>
    <ns0:row r="81" customFormat="false" ht="55.2" hidden="false" customHeight="false" outlineLevel="0" collapsed="false">
      <ns0:c r="A81" s="2" t="n">
        <ns0:v>80</ns0:v>
      </ns0:c>
      <ns0:c r="B81" s="3"/>
      <ns0:c r="C81" s="3"/>
      <ns0:c r="D81" s="2" t="s">
        <ns0:v>116</ns0:v>
      </ns0:c>
      <ns0:c r="E81" s="2" t="s">
        <ns0:v>416</ns0:v>
      </ns0:c>
      <ns0:c r="F81" s="4" t="s">
        <ns0:v>411</ns0:v>
      </ns0:c>
      <ns0:c r="G81" s="4" t="s">
        <ns0:v>425</ns0:v>
      </ns0:c>
      <ns0:c r="H81" s="4"/>
      <ns0:c r="I81" s="4"/>
      <ns0:c r="J81" s="4"/>
      <ns0:c r="K81" s="4"/>
      <ns0:c r="L81" s="5" t="str">
        <ns0:f aca="false">HYPERLINK("https://www.sec.gov/Archives/edgar/data/1045810/000104581026000075/nvda-20260726.htm","10-Q filed 2026-08-26")</ns0:f>
        <ns0:v>10-Q filed 2026-08-26</ns0:v>
      </ns0:c>
      <ns0:c r="M81" s="4" t="s">
        <ns0:v>426</ns0:v>
      </ns0:c>
      <ns0:c r="N81" s="4" t="s">
        <ns0:v>120</ns0:v>
      </ns0:c>
      <ns0:c r="O81" s="4" t="s">
        <ns0:v>315</ns0:v>
      </ns0:c>
      <ns0:c r="P81" s="4" t="s">
        <ns0:v>427</ns0:v>
      </ns0:c>
      <ns0:c r="Q81" s="6" t="s">
        <ns0:v>428</ns0:v>
      </ns0:c>
    </ns0:row>
    <ns0:row r="82" customFormat="false" ht="82.05" hidden="false" customHeight="false" outlineLevel="0" collapsed="false">
      <ns0:c r="A82" s="2" t="n">
        <ns0:v>81</ns0:v>
      </ns0:c>
      <ns0:c r="B82" s="3"/>
      <ns0:c r="C82" s="3"/>
      <ns0:c r="D82" s="2" t="s">
        <ns0:v>116</ns0:v>
      </ns0:c>
      <ns0:c r="E82" s="2" t="s">
        <ns0:v>429</ns0:v>
      </ns0:c>
      <ns0:c r="F82" s="4" t="s">
        <ns0:v>411</ns0:v>
      </ns0:c>
      <ns0:c r="G82" s="4" t="s">
        <ns0:v>430</ns0:v>
      </ns0:c>
      <ns0:c r="H82" s="4"/>
      <ns0:c r="I82" s="4"/>
      <ns0:c r="J82" s="4"/>
      <ns0:c r="K82" s="4"/>
      <ns0:c r="L82" s="5" t="str">
        <ns0:f aca="false">HYPERLINK("https://www.sec.gov/Archives/edgar/data/1045810/000104581026000075/nvda-20260726.htm","10-Q filed 2026-08-26")</ns0:f>
        <ns0:v>10-Q filed 2026-08-26</ns0:v>
      </ns0:c>
      <ns0:c r="M82" s="4" t="s">
        <ns0:v>431</ns0:v>
      </ns0:c>
      <ns0:c r="N82" s="4" t="s">
        <ns0:v>140</ns0:v>
      </ns0:c>
      <ns0:c r="O82" s="4" t="s">
        <ns0:v>103</ns0:v>
      </ns0:c>
      <ns0:c r="P82" s="4" t="s">
        <ns0:v>432</ns0:v>
      </ns0:c>
      <ns0:c r="Q82" s="6" t="s">
        <ns0:v>433</ns0:v>
      </ns0:c>
    </ns0:row>
    <ns0:row r="83" customFormat="false" ht="41.75" hidden="false" customHeight="false" outlineLevel="0" collapsed="false">
      <ns0:c r="A83" s="2" t="n">
        <ns0:v>82</ns0:v>
      </ns0:c>
      <ns0:c r="B83" s="3"/>
      <ns0:c r="C83" s="3"/>
      <ns0:c r="D83" s="2" t="s">
        <ns0:v>116</ns0:v>
      </ns0:c>
      <ns0:c r="E83" s="2" t="s">
        <ns0:v>429</ns0:v>
      </ns0:c>
      <ns0:c r="F83" s="4" t="s">
        <ns0:v>411</ns0:v>
      </ns0:c>
      <ns0:c r="G83" s="4" t="s">
        <ns0:v>153</ns0:v>
      </ns0:c>
      <ns0:c r="H83" s="4"/>
      <ns0:c r="I83" s="4"/>
      <ns0:c r="J83" s="4"/>
      <ns0:c r="K83" s="4"/>
      <ns0:c r="L83" s="5" t="str">
        <ns0:f aca="false">HYPERLINK("https://www.sec.gov/Archives/edgar/data/1045810/000104581026000073/q2fy27cfocommentary.htm","Results release (8-K filed 2026-08-26): q2fy27cfocommentary.htm")</ns0:f>
        <ns0:v>Results release (8-K filed 2026-08-26): q2fy27cfocommentary.htm</ns0:v>
      </ns0:c>
      <ns0:c r="M83" s="4" t="s">
        <ns0:v>434</ns0:v>
      </ns0:c>
      <ns0:c r="N83" s="4" t="s">
        <ns0:v>95</ns0:v>
      </ns0:c>
      <ns0:c r="O83" s="4" t="s">
        <ns0:v>103</ns0:v>
      </ns0:c>
      <ns0:c r="P83" s="4" t="s">
        <ns0:v>435</ns0:v>
      </ns0:c>
      <ns0:c r="Q83" s="6" t="s">
        <ns0:v>436</ns0:v>
      </ns0:c>
    </ns0:row>
    <ns0:row r="84" customFormat="false" ht="41.75" hidden="false" customHeight="false" outlineLevel="0" collapsed="false">
      <ns0:c r="A84" s="2" t="n">
        <ns0:v>83</ns0:v>
      </ns0:c>
      <ns0:c r="B84" s="3"/>
      <ns0:c r="C84" s="3"/>
      <ns0:c r="D84" s="2" t="s">
        <ns0:v>116</ns0:v>
      </ns0:c>
      <ns0:c r="E84" s="2" t="s">
        <ns0:v>429</ns0:v>
      </ns0:c>
      <ns0:c r="F84" s="4" t="s">
        <ns0:v>411</ns0:v>
      </ns0:c>
      <ns0:c r="G84" s="4" t="s">
        <ns0:v>437</ns0:v>
      </ns0:c>
      <ns0:c r="H84" s="4"/>
      <ns0:c r="I84" s="4"/>
      <ns0:c r="J84" s="4"/>
      <ns0:c r="K84" s="4"/>
      <ns0:c r="L84" s="5" t="str">
        <ns0:f aca="false">HYPERLINK("https://www.sec.gov/Archives/edgar/data/1045810/000104581026000073/q2fy27pr.htm","Results release (8-K filed 2026-08-26): q2fy27pr.htm")</ns0:f>
        <ns0:v>Results release (8-K filed 2026-08-26): q2fy27pr.htm</ns0:v>
      </ns0:c>
      <ns0:c r="M84" s="4" t="s">
        <ns0:v>438</ns0:v>
      </ns0:c>
      <ns0:c r="N84" s="4" t="s">
        <ns0:v>95</ns0:v>
      </ns0:c>
      <ns0:c r="O84" s="4" t="s">
        <ns0:v>103</ns0:v>
      </ns0:c>
      <ns0:c r="P84" s="4" t="s">
        <ns0:v>439</ns0:v>
      </ns0:c>
      <ns0:c r="Q84" s="6" t="s">
        <ns0:v>440</ns0:v>
      </ns0:c>
    </ns0:row>
    <ns0:row r="85" customFormat="false" ht="41.75" hidden="false" customHeight="false" outlineLevel="0" collapsed="false">
      <ns0:c r="A85" s="2" t="n">
        <ns0:v>84</ns0:v>
      </ns0:c>
      <ns0:c r="B85" s="3"/>
      <ns0:c r="C85" s="3"/>
      <ns0:c r="D85" s="2" t="s">
        <ns0:v>116</ns0:v>
      </ns0:c>
      <ns0:c r="E85" s="2" t="s">
        <ns0:v>429</ns0:v>
      </ns0:c>
      <ns0:c r="F85" s="4" t="s">
        <ns0:v>411</ns0:v>
      </ns0:c>
      <ns0:c r="G85" s="4" t="s">
        <ns0:v>198</ns0:v>
      </ns0:c>
      <ns0:c r="H85" s="4"/>
      <ns0:c r="I85" s="4"/>
      <ns0:c r="J85" s="4"/>
      <ns0:c r="K85" s="4"/>
      <ns0:c r="L85" s="5" t="str">
        <ns0:f aca="false">HYPERLINK("https://www.sec.gov/Archives/edgar/data/1045810/000104581026000073/q2fy27pr.htm","Results release (8-K filed 2026-08-26): q2fy27pr.htm")</ns0:f>
        <ns0:v>Results release (8-K filed 2026-08-26): q2fy27pr.htm</ns0:v>
      </ns0:c>
      <ns0:c r="M85" s="4" t="s">
        <ns0:v>441</ns0:v>
      </ns0:c>
      <ns0:c r="N85" s="4" t="s">
        <ns0:v>120</ns0:v>
      </ns0:c>
      <ns0:c r="O85" s="4" t="s">
        <ns0:v>103</ns0:v>
      </ns0:c>
      <ns0:c r="P85" s="4" t="s">
        <ns0:v>442</ns0:v>
      </ns0:c>
      <ns0:c r="Q85" s="6" t="s">
        <ns0:v>443</ns0:v>
      </ns0:c>
    </ns0:row>
    <ns0:row r="86" customFormat="false" ht="41.75" hidden="false" customHeight="false" outlineLevel="0" collapsed="false">
      <ns0:c r="A86" s="2" t="n">
        <ns0:v>85</ns0:v>
      </ns0:c>
      <ns0:c r="B86" s="3"/>
      <ns0:c r="C86" s="3"/>
      <ns0:c r="D86" s="2" t="s">
        <ns0:v>116</ns0:v>
      </ns0:c>
      <ns0:c r="E86" s="2" t="s">
        <ns0:v>429</ns0:v>
      </ns0:c>
      <ns0:c r="F86" s="4" t="s">
        <ns0:v>411</ns0:v>
      </ns0:c>
      <ns0:c r="G86" s="4" t="s">
        <ns0:v>444</ns0:v>
      </ns0:c>
      <ns0:c r="H86" s="4"/>
      <ns0:c r="I86" s="4"/>
      <ns0:c r="J86" s="4"/>
      <ns0:c r="K86" s="4"/>
      <ns0:c r="L86" s="5" t="str">
        <ns0:f aca="false">HYPERLINK("https://www.sec.gov/Archives/edgar/data/1045810/000104581026000073/q2fy27cfocommentary.htm","Results release (8-K filed 2026-08-26): q2fy27cfocommentary.htm")</ns0:f>
        <ns0:v>Results release (8-K filed 2026-08-26): q2fy27cfocommentary.htm</ns0:v>
      </ns0:c>
      <ns0:c r="M86" s="4" t="s">
        <ns0:v>445</ns0:v>
      </ns0:c>
      <ns0:c r="N86" s="4" t="s">
        <ns0:v>95</ns0:v>
      </ns0:c>
      <ns0:c r="O86" s="4" t="s">
        <ns0:v>103</ns0:v>
      </ns0:c>
      <ns0:c r="P86" s="4" t="s">
        <ns0:v>446</ns0:v>
      </ns0:c>
      <ns0:c r="Q86" s="6" t="s">
        <ns0:v>447</ns0:v>
      </ns0:c>
    </ns0:row>
    <ns0:row r="87" customFormat="false" ht="41.75" hidden="false" customHeight="false" outlineLevel="0" collapsed="false">
      <ns0:c r="A87" s="2" t="n">
        <ns0:v>86</ns0:v>
      </ns0:c>
      <ns0:c r="B87" s="3"/>
      <ns0:c r="C87" s="3"/>
      <ns0:c r="D87" s="2" t="s">
        <ns0:v>116</ns0:v>
      </ns0:c>
      <ns0:c r="E87" s="2" t="s">
        <ns0:v>448</ns0:v>
      </ns0:c>
      <ns0:c r="F87" s="4" t="s">
        <ns0:v>411</ns0:v>
      </ns0:c>
      <ns0:c r="G87" s="4" t="s">
        <ns0:v>449</ns0:v>
      </ns0:c>
      <ns0:c r="H87" s="4"/>
      <ns0:c r="I87" s="4"/>
      <ns0:c r="J87" s="4"/>
      <ns0:c r="K87" s="4"/>
      <ns0:c r="L87" s="5" t="str">
        <ns0:f aca="false">HYPERLINK("https://www.sec.gov/Archives/edgar/data/1045810/000104581026000073/q2fy27cfocommentary.htm","Results release (8-K filed 2026-08-26): q2fy27cfocommentary.htm")</ns0:f>
        <ns0:v>Results release (8-K filed 2026-08-26): q2fy27cfocommentary.htm</ns0:v>
      </ns0:c>
      <ns0:c r="M87" s="4" t="s">
        <ns0:v>450</ns0:v>
      </ns0:c>
      <ns0:c r="N87" s="4" t="s">
        <ns0:v>26</ns0:v>
      </ns0:c>
      <ns0:c r="O87" s="4" t="s">
        <ns0:v>103</ns0:v>
      </ns0:c>
      <ns0:c r="P87" s="4" t="s">
        <ns0:v>451</ns0:v>
      </ns0:c>
      <ns0:c r="Q87" s="6" t="s">
        <ns0:v>452</ns0:v>
      </ns0:c>
    </ns0:row>
    <ns0:row r="88" customFormat="false" ht="55.2" hidden="false" customHeight="false" outlineLevel="0" collapsed="false">
      <ns0:c r="A88" s="2" t="n">
        <ns0:v>87</ns0:v>
      </ns0:c>
      <ns0:c r="B88" s="3"/>
      <ns0:c r="C88" s="3"/>
      <ns0:c r="D88" s="2" t="s">
        <ns0:v>116</ns0:v>
      </ns0:c>
      <ns0:c r="E88" s="2" t="s">
        <ns0:v>429</ns0:v>
      </ns0:c>
      <ns0:c r="F88" s="4" t="s">
        <ns0:v>411</ns0:v>
      </ns0:c>
      <ns0:c r="G88" s="4" t="s">
        <ns0:v>453</ns0:v>
      </ns0:c>
      <ns0:c r="H88" s="4"/>
      <ns0:c r="I88" s="4"/>
      <ns0:c r="J88" s="4"/>
      <ns0:c r="K88" s="4"/>
      <ns0:c r="L88" s="5" t="str">
        <ns0:f aca="false">HYPERLINK("https://www.sec.gov/Archives/edgar/data/1045810/000104581026000073/q2fy27cfocommentary.htm","Results release (8-K filed 2026-08-26): q2fy27cfocommentary.htm")</ns0:f>
        <ns0:v>Results release (8-K filed 2026-08-26): q2fy27cfocommentary.htm</ns0:v>
      </ns0:c>
      <ns0:c r="M88" s="4" t="s">
        <ns0:v>454</ns0:v>
      </ns0:c>
      <ns0:c r="N88" s="4" t="s">
        <ns0:v>26</ns0:v>
      </ns0:c>
      <ns0:c r="O88" s="4" t="s">
        <ns0:v>103</ns0:v>
      </ns0:c>
      <ns0:c r="P88" s="4" t="s">
        <ns0:v>455</ns0:v>
      </ns0:c>
      <ns0:c r="Q88" s="6" t="s">
        <ns0:v>456</ns0:v>
      </ns0:c>
    </ns0:row>
    <ns0:row r="89" customFormat="false" ht="68.65" hidden="false" customHeight="false" outlineLevel="0" collapsed="false">
      <ns0:c r="A89" s="2" t="n">
        <ns0:v>88</ns0:v>
      </ns0:c>
      <ns0:c r="B89" s="3"/>
      <ns0:c r="C89" s="3"/>
      <ns0:c r="D89" s="2" t="s">
        <ns0:v>116</ns0:v>
      </ns0:c>
      <ns0:c r="E89" s="2" t="s">
        <ns0:v>457</ns0:v>
      </ns0:c>
      <ns0:c r="F89" s="4" t="s">
        <ns0:v>411</ns0:v>
      </ns0:c>
      <ns0:c r="G89" s="4" t="s">
        <ns0:v>458</ns0:v>
      </ns0:c>
      <ns0:c r="H89" s="4"/>
      <ns0:c r="I89" s="4"/>
      <ns0:c r="J89" s="4"/>
      <ns0:c r="K89" s="4"/>
      <ns0:c r="L89" s="5" t="str">
        <ns0:f aca="false">HYPERLINK("https://s201.q4cdn.com/141608511/files/content_files/TRANSCRIPT_-NVIDIA-Corp-NVDA-US-Q2-2027-Earnings-Call-26-August-2026-5_00-PM-ET.pdf","Second Quarter 2027: Transcript")</ns0:f>
        <ns0:v>Second Quarter 2027: Transcript</ns0:v>
      </ns0:c>
      <ns0:c r="M89" s="4" t="s">
        <ns0:v>459</ns0:v>
      </ns0:c>
      <ns0:c r="N89" s="4" t="s">
        <ns0:v>120</ns0:v>
      </ns0:c>
      <ns0:c r="O89" s="4" t="s">
        <ns0:v>460</ns0:v>
      </ns0:c>
      <ns0:c r="P89" s="4" t="s">
        <ns0:v>461</ns0:v>
      </ns0:c>
      <ns0:c r="Q89" s="6" t="s">
        <ns0:v>462</ns0:v>
      </ns0:c>
    </ns0:row>
    <ns0:row r="90" customFormat="false" ht="55.2" hidden="false" customHeight="false" outlineLevel="0" collapsed="false">
      <ns0:c r="A90" s="2" t="n">
        <ns0:v>89</ns0:v>
      </ns0:c>
      <ns0:c r="B90" s="3"/>
      <ns0:c r="C90" s="3"/>
      <ns0:c r="D90" s="2" t="s">
        <ns0:v>116</ns0:v>
      </ns0:c>
      <ns0:c r="E90" s="2" t="s">
        <ns0:v>457</ns0:v>
      </ns0:c>
      <ns0:c r="F90" s="4" t="s">
        <ns0:v>411</ns0:v>
      </ns0:c>
      <ns0:c r="G90" s="4" t="s">
        <ns0:v>463</ns0:v>
      </ns0:c>
      <ns0:c r="H90" s="4"/>
      <ns0:c r="I90" s="4"/>
      <ns0:c r="J90" s="4"/>
      <ns0:c r="K90" s="4"/>
      <ns0:c r="L90" s="5" t="str">
        <ns0:f aca="false">HYPERLINK("https://s201.q4cdn.com/141608511/files/content_files/TRANSCRIPT_-NVIDIA-Corp-NVDA-US-Q2-2027-Earnings-Call-26-August-2026-5_00-PM-ET.pdf","Second Quarter 2027: Transcript")</ns0:f>
        <ns0:v>Second Quarter 2027: Transcript</ns0:v>
      </ns0:c>
      <ns0:c r="M90" s="4" t="s">
        <ns0:v>464</ns0:v>
      </ns0:c>
      <ns0:c r="N90" s="4" t="s">
        <ns0:v>120</ns0:v>
      </ns0:c>
      <ns0:c r="O90" s="4" t="s">
        <ns0:v>460</ns0:v>
      </ns0:c>
      <ns0:c r="P90" s="4" t="s">
        <ns0:v>465</ns0:v>
      </ns0:c>
      <ns0:c r="Q90" s="6" t="s">
        <ns0:v>466</ns0:v>
      </ns0:c>
    </ns0:row>
    <ns0:row r="91" customFormat="false" ht="55.2" hidden="false" customHeight="false" outlineLevel="0" collapsed="false">
      <ns0:c r="A91" s="2" t="n">
        <ns0:v>90</ns0:v>
      </ns0:c>
      <ns0:c r="B91" s="3"/>
      <ns0:c r="C91" s="3"/>
      <ns0:c r="D91" s="2" t="s">
        <ns0:v>116</ns0:v>
      </ns0:c>
      <ns0:c r="E91" s="2" t="s">
        <ns0:v>457</ns0:v>
      </ns0:c>
      <ns0:c r="F91" s="4" t="s">
        <ns0:v>411</ns0:v>
      </ns0:c>
      <ns0:c r="G91" s="4" t="s">
        <ns0:v>467</ns0:v>
      </ns0:c>
      <ns0:c r="H91" s="4"/>
      <ns0:c r="I91" s="4"/>
      <ns0:c r="J91" s="4"/>
      <ns0:c r="K91" s="4"/>
      <ns0:c r="L91" s="5" t="str">
        <ns0:f aca="false">HYPERLINK("https://s201.q4cdn.com/141608511/files/content_files/TRANSCRIPT_-NVIDIA-Corp-NVDA-US-Q2-2027-Earnings-Call-26-August-2026-5_00-PM-ET.pdf","Second Quarter 2027: Transcript")</ns0:f>
        <ns0:v>Second Quarter 2027: Transcript</ns0:v>
      </ns0:c>
      <ns0:c r="M91" s="4" t="s">
        <ns0:v>468</ns0:v>
      </ns0:c>
      <ns0:c r="N91" s="4" t="s">
        <ns0:v>140</ns0:v>
      </ns0:c>
      <ns0:c r="O91" s="4" t="s">
        <ns0:v>460</ns0:v>
      </ns0:c>
      <ns0:c r="P91" s="4" t="s">
        <ns0:v>469</ns0:v>
      </ns0:c>
      <ns0:c r="Q91" s="6" t="s">
        <ns0:v>470</ns0:v>
      </ns0:c>
    </ns0:row>
    <ns0:row r="92" customFormat="false" ht="41.75" hidden="false" customHeight="false" outlineLevel="0" collapsed="false">
      <ns0:c r="A92" s="2" t="n">
        <ns0:v>91</ns0:v>
      </ns0:c>
      <ns0:c r="B92" s="3"/>
      <ns0:c r="C92" s="3"/>
      <ns0:c r="D92" s="2" t="s">
        <ns0:v>116</ns0:v>
      </ns0:c>
      <ns0:c r="E92" s="2" t="s">
        <ns0:v>471</ns0:v>
      </ns0:c>
      <ns0:c r="F92" s="4" t="s">
        <ns0:v>411</ns0:v>
      </ns0:c>
      <ns0:c r="G92" s="4" t="s">
        <ns0:v>472</ns0:v>
      </ns0:c>
      <ns0:c r="H92" s="4"/>
      <ns0:c r="I92" s="4"/>
      <ns0:c r="J92" s="4"/>
      <ns0:c r="K92" s="4"/>
      <ns0:c r="L92" s="5" t="str">
        <ns0:f aca="false">HYPERLINK("https://s201.q4cdn.com/141608511/files/content_files/TRANSCRIPT_-NVIDIA-Corp-NVDA-US-Q2-2027-Earnings-Call-26-August-2026-5_00-PM-ET.pdf","Second Quarter 2027: Transcript")</ns0:f>
        <ns0:v>Second Quarter 2027: Transcript</ns0:v>
      </ns0:c>
      <ns0:c r="M92" s="4" t="s">
        <ns0:v>473</ns0:v>
      </ns0:c>
      <ns0:c r="N92" s="4" t="s">
        <ns0:v>140</ns0:v>
      </ns0:c>
      <ns0:c r="O92" s="4" t="s">
        <ns0:v>460</ns0:v>
      </ns0:c>
      <ns0:c r="P92" s="4" t="s">
        <ns0:v>474</ns0:v>
      </ns0:c>
      <ns0:c r="Q92" s="6" t="s">
        <ns0:v>475</ns0:v>
      </ns0:c>
    </ns0:row>
    <ns0:row r="93" customFormat="false" ht="41.75" hidden="false" customHeight="false" outlineLevel="0" collapsed="false">
      <ns0:c r="A93" s="2" t="n">
        <ns0:v>92</ns0:v>
      </ns0:c>
      <ns0:c r="B93" s="3"/>
      <ns0:c r="C93" s="3"/>
      <ns0:c r="D93" s="2" t="s">
        <ns0:v>116</ns0:v>
      </ns0:c>
      <ns0:c r="E93" s="2" t="s">
        <ns0:v>476</ns0:v>
      </ns0:c>
      <ns0:c r="F93" s="4" t="s">
        <ns0:v>30</ns0:v>
      </ns0:c>
      <ns0:c r="G93" s="4" t="s">
        <ns0:v>477</ns0:v>
      </ns0:c>
      <ns0:c r="H93" s="4"/>
      <ns0:c r="I93" s="4"/>
      <ns0:c r="J93" s="4"/>
      <ns0:c r="K93" s="4"/>
      <ns0:c r="L93" s="5" t="str">
        <ns0:f aca="false">HYPERLINK("https://www.sec.gov/Archives/edgar/data/1341439/000119312526389274/orcl-20260831.htm","10-Q filed 2026-09-11")</ns0:f>
        <ns0:v>10-Q filed 2026-09-11</ns0:v>
      </ns0:c>
      <ns0:c r="M93" s="4" t="s">
        <ns0:v>478</ns0:v>
      </ns0:c>
      <ns0:c r="N93" s="4" t="s">
        <ns0:v>479</ns0:v>
      </ns0:c>
      <ns0:c r="O93" s="4" t="s">
        <ns0:v>38</ns0:v>
      </ns0:c>
      <ns0:c r="P93" s="4" t="s">
        <ns0:v>480</ns0:v>
      </ns0:c>
      <ns0:c r="Q93" s="6" t="s">
        <ns0:v>481</ns0:v>
      </ns0:c>
    </ns0:row>
    <ns0:row r="94" customFormat="false" ht="55.2" hidden="false" customHeight="false" outlineLevel="0" collapsed="false">
      <ns0:c r="A94" s="2" t="n">
        <ns0:v>93</ns0:v>
      </ns0:c>
      <ns0:c r="B94" s="3"/>
      <ns0:c r="C94" s="3"/>
      <ns0:c r="D94" s="2" t="s">
        <ns0:v>116</ns0:v>
      </ns0:c>
      <ns0:c r="E94" s="2" t="s">
        <ns0:v>384</ns0:v>
      </ns0:c>
      <ns0:c r="F94" s="4" t="s">
        <ns0:v>30</ns0:v>
      </ns0:c>
      <ns0:c r="G94" s="4" t="s">
        <ns0:v>482</ns0:v>
      </ns0:c>
      <ns0:c r="H94" s="4"/>
      <ns0:c r="I94" s="4"/>
      <ns0:c r="J94" s="4"/>
      <ns0:c r="K94" s="4"/>
      <ns0:c r="L94" s="5" t="str">
        <ns0:f aca="false">HYPERLINK("https://www.sec.gov/Archives/edgar/data/1341439/000119312526389274/orcl-20260831.htm","10-Q filed 2026-09-11")</ns0:f>
        <ns0:v>10-Q filed 2026-09-11</ns0:v>
      </ns0:c>
      <ns0:c r="M94" s="4" t="s">
        <ns0:v>483</ns0:v>
      </ns0:c>
      <ns0:c r="N94" s="4" t="s">
        <ns0:v>479</ns0:v>
      </ns0:c>
      <ns0:c r="O94" s="4" t="s">
        <ns0:v>225</ns0:v>
      </ns0:c>
      <ns0:c r="P94" s="4" t="s">
        <ns0:v>484</ns0:v>
      </ns0:c>
      <ns0:c r="Q94" s="6" t="s">
        <ns0:v>485</ns0:v>
      </ns0:c>
    </ns0:row>
    <ns0:row r="95" customFormat="false" ht="82.05" hidden="false" customHeight="false" outlineLevel="0" collapsed="false">
      <ns0:c r="A95" s="2" t="n">
        <ns0:v>94</ns0:v>
      </ns0:c>
      <ns0:c r="B95" s="3"/>
      <ns0:c r="C95" s="3"/>
      <ns0:c r="D95" s="2" t="s">
        <ns0:v>116</ns0:v>
      </ns0:c>
      <ns0:c r="E95" s="2" t="s">
        <ns0:v>486</ns0:v>
      </ns0:c>
      <ns0:c r="F95" s="4" t="s">
        <ns0:v>30</ns0:v>
      </ns0:c>
      <ns0:c r="G95" s="4" t="s">
        <ns0:v>487</ns0:v>
      </ns0:c>
      <ns0:c r="H95" s="4"/>
      <ns0:c r="I95" s="4"/>
      <ns0:c r="J95" s="4"/>
      <ns0:c r="K95" s="4"/>
      <ns0:c r="L95" s="5" t="str">
        <ns0:f aca="false">HYPERLINK("https://www.sec.gov/Archives/edgar/data/1341439/000119312526389274/orcl-20260831.htm","10-Q filed 2026-09-11")</ns0:f>
        <ns0:v>10-Q filed 2026-09-11</ns0:v>
      </ns0:c>
      <ns0:c r="M95" s="4" t="s">
        <ns0:v>488</ns0:v>
      </ns0:c>
      <ns0:c r="N95" s="4" t="s">
        <ns0:v>210</ns0:v>
      </ns0:c>
      <ns0:c r="O95" s="4" t="s">
        <ns0:v>225</ns0:v>
      </ns0:c>
      <ns0:c r="P95" s="4" t="s">
        <ns0:v>489</ns0:v>
      </ns0:c>
      <ns0:c r="Q95" s="6" t="s">
        <ns0:v>490</ns0:v>
      </ns0:c>
    </ns0:row>
    <ns0:row r="96" customFormat="false" ht="68.65" hidden="false" customHeight="false" outlineLevel="0" collapsed="false">
      <ns0:c r="A96" s="2" t="n">
        <ns0:v>95</ns0:v>
      </ns0:c>
      <ns0:c r="B96" s="3"/>
      <ns0:c r="C96" s="3"/>
      <ns0:c r="D96" s="2" t="s">
        <ns0:v>116</ns0:v>
      </ns0:c>
      <ns0:c r="E96" s="2" t="s">
        <ns0:v>384</ns0:v>
      </ns0:c>
      <ns0:c r="F96" s="4" t="s">
        <ns0:v>30</ns0:v>
      </ns0:c>
      <ns0:c r="G96" s="4" t="s">
        <ns0:v>491</ns0:v>
      </ns0:c>
      <ns0:c r="H96" s="4"/>
      <ns0:c r="I96" s="4"/>
      <ns0:c r="J96" s="4"/>
      <ns0:c r="K96" s="4"/>
      <ns0:c r="L96" s="5" t="str">
        <ns0:f aca="false">HYPERLINK("https://www.sec.gov/Archives/edgar/data/1341439/000119312526389274/orcl-20260831.htm","10-Q filed 2026-09-11")</ns0:f>
        <ns0:v>10-Q filed 2026-09-11</ns0:v>
      </ns0:c>
      <ns0:c r="M96" s="4" t="s">
        <ns0:v>492</ns0:v>
      </ns0:c>
      <ns0:c r="N96" s="4" t="s">
        <ns0:v>95</ns0:v>
      </ns0:c>
      <ns0:c r="O96" s="4" t="s">
        <ns0:v>225</ns0:v>
      </ns0:c>
      <ns0:c r="P96" s="4" t="s">
        <ns0:v>493</ns0:v>
      </ns0:c>
      <ns0:c r="Q96" s="6" t="s">
        <ns0:v>494</ns0:v>
      </ns0:c>
    </ns0:row>
    <ns0:row r="97" customFormat="false" ht="95.5" hidden="false" customHeight="false" outlineLevel="0" collapsed="false">
      <ns0:c r="A97" s="2" t="n">
        <ns0:v>96</ns0:v>
      </ns0:c>
      <ns0:c r="B97" s="3"/>
      <ns0:c r="C97" s="3"/>
      <ns0:c r="D97" s="2" t="s">
        <ns0:v>116</ns0:v>
      </ns0:c>
      <ns0:c r="E97" s="2" t="s">
        <ns0:v>476</ns0:v>
      </ns0:c>
      <ns0:c r="F97" s="4" t="s">
        <ns0:v>30</ns0:v>
      </ns0:c>
      <ns0:c r="G97" s="4" t="s">
        <ns0:v>495</ns0:v>
      </ns0:c>
      <ns0:c r="H97" s="4"/>
      <ns0:c r="I97" s="4"/>
      <ns0:c r="J97" s="4"/>
      <ns0:c r="K97" s="4"/>
      <ns0:c r="L97" s="5" t="str">
        <ns0:f aca="false">HYPERLINK("https://www.sec.gov/Archives/edgar/data/1341439/000119312526389274/orcl-20260831.htm","10-Q filed 2026-09-11")</ns0:f>
        <ns0:v>10-Q filed 2026-09-11</ns0:v>
      </ns0:c>
      <ns0:c r="M97" s="4" t="s">
        <ns0:v>496</ns0:v>
      </ns0:c>
      <ns0:c r="N97" s="4" t="s">
        <ns0:v>26</ns0:v>
      </ns0:c>
      <ns0:c r="O97" s="4" t="s">
        <ns0:v>38</ns0:v>
      </ns0:c>
      <ns0:c r="P97" s="4" t="s">
        <ns0:v>497</ns0:v>
      </ns0:c>
      <ns0:c r="Q97" s="6" t="s">
        <ns0:v>498</ns0:v>
      </ns0:c>
    </ns0:row>
    <ns0:row r="98" customFormat="false" ht="108.95" hidden="false" customHeight="false" outlineLevel="0" collapsed="false">
      <ns0:c r="A98" s="2" t="n">
        <ns0:v>97</ns0:v>
      </ns0:c>
      <ns0:c r="B98" s="3"/>
      <ns0:c r="C98" s="3"/>
      <ns0:c r="D98" s="2" t="s">
        <ns0:v>116</ns0:v>
      </ns0:c>
      <ns0:c r="E98" s="2" t="s">
        <ns0:v>384</ns0:v>
      </ns0:c>
      <ns0:c r="F98" s="4" t="s">
        <ns0:v>30</ns0:v>
      </ns0:c>
      <ns0:c r="G98" s="4" t="s">
        <ns0:v>499</ns0:v>
      </ns0:c>
      <ns0:c r="H98" s="4"/>
      <ns0:c r="I98" s="4"/>
      <ns0:c r="J98" s="4"/>
      <ns0:c r="K98" s="4"/>
      <ns0:c r="L98" s="5" t="str">
        <ns0:f aca="false">HYPERLINK("https://www.sec.gov/Archives/edgar/data/1341439/000119312526389274/orcl-20260831.htm","10-Q filed 2026-09-11")</ns0:f>
        <ns0:v>10-Q filed 2026-09-11</ns0:v>
      </ns0:c>
      <ns0:c r="M98" s="4" t="s">
        <ns0:v>500</ns0:v>
      </ns0:c>
      <ns0:c r="N98" s="4" t="s">
        <ns0:v>26</ns0:v>
      </ns0:c>
      <ns0:c r="O98" s="4" t="s">
        <ns0:v>225</ns0:v>
      </ns0:c>
      <ns0:c r="P98" s="4" t="s">
        <ns0:v>501</ns0:v>
      </ns0:c>
      <ns0:c r="Q98" s="6" t="s">
        <ns0:v>502</ns0:v>
      </ns0:c>
    </ns0:row>
    <ns0:row r="99" customFormat="false" ht="41.75" hidden="false" customHeight="false" outlineLevel="0" collapsed="false">
      <ns0:c r="A99" s="2" t="n">
        <ns0:v>98</ns0:v>
      </ns0:c>
      <ns0:c r="B99" s="3"/>
      <ns0:c r="C99" s="3"/>
      <ns0:c r="D99" s="2" t="s">
        <ns0:v>116</ns0:v>
      </ns0:c>
      <ns0:c r="E99" s="2" t="s">
        <ns0:v>476</ns0:v>
      </ns0:c>
      <ns0:c r="F99" s="4" t="s">
        <ns0:v>30</ns0:v>
      </ns0:c>
      <ns0:c r="G99" s="4" t="s">
        <ns0:v>503</ns0:v>
      </ns0:c>
      <ns0:c r="H99" s="4"/>
      <ns0:c r="I99" s="4"/>
      <ns0:c r="J99" s="4"/>
      <ns0:c r="K99" s="4"/>
      <ns0:c r="L99" s="5" t="str">
        <ns0:f aca="false">HYPERLINK("https://www.sec.gov/Archives/edgar/data/1341439/000119312526389274/orcl-20260831.htm","10-Q filed 2026-09-11")</ns0:f>
        <ns0:v>10-Q filed 2026-09-11</ns0:v>
      </ns0:c>
      <ns0:c r="M99" s="4" t="s">
        <ns0:v>504</ns0:v>
      </ns0:c>
      <ns0:c r="N99" s="4" t="s">
        <ns0:v>26</ns0:v>
      </ns0:c>
      <ns0:c r="O99" s="4" t="s">
        <ns0:v>38</ns0:v>
      </ns0:c>
      <ns0:c r="P99" s="4" t="s">
        <ns0:v>505</ns0:v>
      </ns0:c>
      <ns0:c r="Q99" s="6" t="s">
        <ns0:v>506</ns0:v>
      </ns0:c>
    </ns0:row>
    <ns0:row r="100" customFormat="false" ht="55.2" hidden="false" customHeight="false" outlineLevel="0" collapsed="false">
      <ns0:c r="A100" s="2" t="n">
        <ns0:v>99</ns0:v>
      </ns0:c>
      <ns0:c r="B100" s="3"/>
      <ns0:c r="C100" s="3"/>
      <ns0:c r="D100" s="2" t="s">
        <ns0:v>116</ns0:v>
      </ns0:c>
      <ns0:c r="E100" s="2" t="s">
        <ns0:v>384</ns0:v>
      </ns0:c>
      <ns0:c r="F100" s="4" t="s">
        <ns0:v>30</ns0:v>
      </ns0:c>
      <ns0:c r="G100" s="4" t="s">
        <ns0:v>507</ns0:v>
      </ns0:c>
      <ns0:c r="H100" s="4"/>
      <ns0:c r="I100" s="4"/>
      <ns0:c r="J100" s="4"/>
      <ns0:c r="K100" s="4"/>
      <ns0:c r="L100" s="5" t="str">
        <ns0:f aca="false">HYPERLINK("https://www.sec.gov/Archives/edgar/data/1341439/000119312526389274/orcl-20260831.htm","10-Q filed 2026-09-11")</ns0:f>
        <ns0:v>10-Q filed 2026-09-11</ns0:v>
      </ns0:c>
      <ns0:c r="M100" s="4" t="s">
        <ns0:v>508</ns0:v>
      </ns0:c>
      <ns0:c r="N100" s="4" t="s">
        <ns0:v>140</ns0:v>
      </ns0:c>
      <ns0:c r="O100" s="4" t="s">
        <ns0:v>225</ns0:v>
      </ns0:c>
      <ns0:c r="P100" s="4" t="s">
        <ns0:v>509</ns0:v>
      </ns0:c>
      <ns0:c r="Q100" s="6" t="s">
        <ns0:v>510</ns0:v>
      </ns0:c>
    </ns0:row>
    <ns0:row r="101" customFormat="false" ht="41.75" hidden="false" customHeight="false" outlineLevel="0" collapsed="false">
      <ns0:c r="A101" s="2" t="n">
        <ns0:v>100</ns0:v>
      </ns0:c>
      <ns0:c r="B101" s="3"/>
      <ns0:c r="C101" s="3"/>
      <ns0:c r="D101" s="2" t="s">
        <ns0:v>116</ns0:v>
      </ns0:c>
      <ns0:c r="E101" s="2" t="s">
        <ns0:v>511</ns0:v>
      </ns0:c>
      <ns0:c r="F101" s="4" t="s">
        <ns0:v>30</ns0:v>
      </ns0:c>
      <ns0:c r="G101" s="4" t="s">
        <ns0:v>512</ns0:v>
      </ns0:c>
      <ns0:c r="H101" s="4"/>
      <ns0:c r="I101" s="4"/>
      <ns0:c r="J101" s="4"/>
      <ns0:c r="K101" s="4"/>
      <ns0:c r="L101" s="5" t="str">
        <ns0:f aca="false">HYPERLINK("https://www.sec.gov/Archives/edgar/data/1341439/000119312526387905/orcl-ex99_1.htm","Results release (8-K filed 2026-09-10): orcl-ex99_1.htm")</ns0:f>
        <ns0:v>Results release (8-K filed 2026-09-10): orcl-ex99_1.htm</ns0:v>
      </ns0:c>
      <ns0:c r="M101" s="4" t="s">
        <ns0:v>513</ns0:v>
      </ns0:c>
      <ns0:c r="N101" s="4" t="s">
        <ns0:v>210</ns0:v>
      </ns0:c>
      <ns0:c r="O101" s="4" t="s">
        <ns0:v>141</ns0:v>
      </ns0:c>
      <ns0:c r="P101" s="4" t="s">
        <ns0:v>514</ns0:v>
      </ns0:c>
      <ns0:c r="Q101" s="6" t="s">
        <ns0:v>515</ns0:v>
      </ns0:c>
    </ns0:row>
    <ns0:row r="102" customFormat="false" ht="41.75" hidden="false" customHeight="false" outlineLevel="0" collapsed="false">
      <ns0:c r="A102" s="2" t="n">
        <ns0:v>101</ns0:v>
      </ns0:c>
      <ns0:c r="B102" s="3"/>
      <ns0:c r="C102" s="3"/>
      <ns0:c r="D102" s="2" t="s">
        <ns0:v>116</ns0:v>
      </ns0:c>
      <ns0:c r="E102" s="2" t="s">
        <ns0:v>511</ns0:v>
      </ns0:c>
      <ns0:c r="F102" s="4" t="s">
        <ns0:v>30</ns0:v>
      </ns0:c>
      <ns0:c r="G102" s="4" t="s">
        <ns0:v>344</ns0:v>
      </ns0:c>
      <ns0:c r="H102" s="4"/>
      <ns0:c r="I102" s="4"/>
      <ns0:c r="J102" s="4"/>
      <ns0:c r="K102" s="4"/>
      <ns0:c r="L102" s="5" t="str">
        <ns0:f aca="false">HYPERLINK("https://www.sec.gov/Archives/edgar/data/1341439/000119312526387905/orcl-ex99_1.htm","Results release (8-K filed 2026-09-10): orcl-ex99_1.htm")</ns0:f>
        <ns0:v>Results release (8-K filed 2026-09-10): orcl-ex99_1.htm</ns0:v>
      </ns0:c>
      <ns0:c r="M102" s="4" t="s">
        <ns0:v>516</ns0:v>
      </ns0:c>
      <ns0:c r="N102" s="4" t="s">
        <ns0:v>140</ns0:v>
      </ns0:c>
      <ns0:c r="O102" s="4" t="s">
        <ns0:v>141</ns0:v>
      </ns0:c>
      <ns0:c r="P102" s="4" t="s">
        <ns0:v>517</ns0:v>
      </ns0:c>
      <ns0:c r="Q102" s="6" t="s">
        <ns0:v>518</ns0:v>
      </ns0:c>
    </ns0:row>
    <ns0:row r="103" customFormat="false" ht="68.65" hidden="false" customHeight="false" outlineLevel="0" collapsed="false">
      <ns0:c r="A103" s="2" t="n">
        <ns0:v>102</ns0:v>
      </ns0:c>
      <ns0:c r="B103" s="3" t="s">
        <ns0:v>519</ns0:v>
      </ns0:c>
      <ns0:c r="C103" s="3"/>
      <ns0:c r="D103" s="2" t="s">
        <ns0:v>520</ns0:v>
      </ns0:c>
      <ns0:c r="E103" s="2" t="s">
        <ns0:v>429</ns0:v>
      </ns0:c>
      <ns0:c r="F103" s="4" t="s">
        <ns0:v>411</ns0:v>
      </ns0:c>
      <ns0:c r="G103" s="4" t="s">
        <ns0:v>521</ns0:v>
      </ns0:c>
      <ns0:c r="H103" s="4" t="s">
        <ns0:v>522</ns0:v>
      </ns0:c>
      <ns0:c r="I103" s="4" t="s">
        <ns0:v>523</ns0:v>
      </ns0:c>
      <ns0:c r="J103" s="4" t="s">
        <ns0:v>524</ns0:v>
      </ns0:c>
      <ns0:c r="K103" s="4" t="s">
        <ns0:v>523</ns0:v>
      </ns0:c>
      <ns0:c r="L103" s="5" t="str">
        <ns0:f aca="false">HYPERLINK("https://www.sec.gov/Archives/edgar/data/1045810/000104581026000073/q2fy27pr.htm","Results release (8-K filed 2026-08-26): q2fy27pr.htm")</ns0:f>
        <ns0:v>Results release (8-K filed 2026-08-26): q2fy27pr.htm</ns0:v>
      </ns0:c>
      <ns0:c r="M103" s="4" t="s">
        <ns0:v>525</ns0:v>
      </ns0:c>
      <ns0:c r="N103" s="4" t="s">
        <ns0:v>526</ns0:v>
      </ns0:c>
      <ns0:c r="O103" s="4" t="s">
        <ns0:v>103</ns0:v>
      </ns0:c>
      <ns0:c r="P103" s="4" t="s">
        <ns0:v>527</ns0:v>
      </ns0:c>
      <ns0:c r="Q103" s="6" t="s">
        <ns0:v>528</ns0:v>
      </ns0:c>
    </ns0:row>
    <ns0:row r="104" customFormat="false" ht="68.65" hidden="false" customHeight="false" outlineLevel="0" collapsed="false">
      <ns0:c r="A104" s="2" t="n">
        <ns0:v>103</ns0:v>
      </ns0:c>
      <ns0:c r="B104" s="3"/>
      <ns0:c r="C104" s="3"/>
      <ns0:c r="D104" s="2" t="s">
        <ns0:v>520</ns0:v>
      </ns0:c>
      <ns0:c r="E104" s="2" t="s">
        <ns0:v>529</ns0:v>
      </ns0:c>
      <ns0:c r="F104" s="4" t="s">
        <ns0:v>411</ns0:v>
      </ns0:c>
      <ns0:c r="G104" s="4" t="s">
        <ns0:v>530</ns0:v>
      </ns0:c>
      <ns0:c r="H104" s="4" t="s">
        <ns0:v>531</ns0:v>
      </ns0:c>
      <ns0:c r="I104" s="4" t="s">
        <ns0:v>532</ns0:v>
      </ns0:c>
      <ns0:c r="J104" s="4" t="s">
        <ns0:v>533</ns0:v>
      </ns0:c>
      <ns0:c r="K104" s="4" t="s">
        <ns0:v>532</ns0:v>
      </ns0:c>
      <ns0:c r="L104" s="5" t="str">
        <ns0:f aca="false">HYPERLINK("https://s201.q4cdn.com/141608511/files/content_files/TRANSCRIPT_-NVIDIA-Corp-NVDA-US-Q2-2027-Earnings-Call-26-August-2026-5_00-PM-ET.pdf","Second Quarter 2027: Transcript")</ns0:f>
        <ns0:v>Second Quarter 2027: Transcript</ns0:v>
      </ns0:c>
      <ns0:c r="M104" s="4" t="s">
        <ns0:v>534</ns0:v>
      </ns0:c>
      <ns0:c r="N104" s="4" t="s">
        <ns0:v>526</ns0:v>
      </ns0:c>
      <ns0:c r="O104" s="4" t="s">
        <ns0:v>315</ns0:v>
      </ns0:c>
      <ns0:c r="P104" s="4" t="s">
        <ns0:v>535</ns0:v>
      </ns0:c>
      <ns0:c r="Q104" s="6" t="s">
        <ns0:v>536</ns0:v>
      </ns0:c>
    </ns0:row>
    <ns0:row r="105" customFormat="false" ht="68.65" hidden="false" customHeight="false" outlineLevel="0" collapsed="false">
      <ns0:c r="A105" s="2" t="n">
        <ns0:v>104</ns0:v>
      </ns0:c>
      <ns0:c r="B105" s="3"/>
      <ns0:c r="C105" s="3"/>
      <ns0:c r="D105" s="2" t="s">
        <ns0:v>520</ns0:v>
      </ns0:c>
      <ns0:c r="E105" s="2" t="s">
        <ns0:v>47</ns0:v>
      </ns0:c>
      <ns0:c r="F105" s="4" t="s">
        <ns0:v>48</ns0:v>
      </ns0:c>
      <ns0:c r="G105" s="4" t="s">
        <ns0:v>537</ns0:v>
      </ns0:c>
      <ns0:c r="H105" s="4" t="s">
        <ns0:v>538</ns0:v>
      </ns0:c>
      <ns0:c r="I105" s="4" t="s">
        <ns0:v>539</ns0:v>
      </ns0:c>
      <ns0:c r="J105" s="4" t="s">
        <ns0:v>540</ns0:v>
      </ns0:c>
      <ns0:c r="K105" s="4" t="s">
        <ns0:v>541</ns0:v>
      </ns0:c>
      <ns0:c r="L105" s="5" t="str">
        <ns0:f aca="false">HYPERLINK("https://www.sec.gov/Archives/edgar/data/1018724/000101872426000026/amzn-20260630.htm","10-Q filed 2026-07-31")</ns0:f>
        <ns0:v>10-Q filed 2026-07-31</ns0:v>
      </ns0:c>
      <ns0:c r="M105" s="4" t="s">
        <ns0:v>542</ns0:v>
      </ns0:c>
      <ns0:c r="N105" s="4" t="s">
        <ns0:v>526</ns0:v>
      </ns0:c>
      <ns0:c r="O105" s="4" t="s">
        <ns0:v>38</ns0:v>
      </ns0:c>
      <ns0:c r="P105" s="4" t="s">
        <ns0:v>543</ns0:v>
      </ns0:c>
      <ns0:c r="Q105" s="6" t="s">
        <ns0:v>544</ns0:v>
      </ns0:c>
    </ns0:row>
    <ns0:row r="106" customFormat="false" ht="68.65" hidden="false" customHeight="false" outlineLevel="0" collapsed="false">
      <ns0:c r="A106" s="2" t="n">
        <ns0:v>105</ns0:v>
      </ns0:c>
      <ns0:c r="B106" s="3"/>
      <ns0:c r="C106" s="3"/>
      <ns0:c r="D106" s="2" t="s">
        <ns0:v>520</ns0:v>
      </ns0:c>
      <ns0:c r="E106" s="2" t="s">
        <ns0:v>55</ns0:v>
      </ns0:c>
      <ns0:c r="F106" s="4" t="s">
        <ns0:v>48</ns0:v>
      </ns0:c>
      <ns0:c r="G106" s="4" t="s">
        <ns0:v>545</ns0:v>
      </ns0:c>
      <ns0:c r="H106" s="4" t="s">
        <ns0:v>546</ns0:v>
      </ns0:c>
      <ns0:c r="I106" s="4" t="s">
        <ns0:v>539</ns0:v>
      </ns0:c>
      <ns0:c r="J106" s="4" t="s">
        <ns0:v>547</ns0:v>
      </ns0:c>
      <ns0:c r="K106" s="4" t="s">
        <ns0:v>541</ns0:v>
      </ns0:c>
      <ns0:c r="L106" s="5" t="str">
        <ns0:f aca="false">HYPERLINK("https://www.sec.gov/Archives/edgar/data/1018724/000101872426000026/amzn-20260630.htm","10-Q filed 2026-07-31")</ns0:f>
        <ns0:v>10-Q filed 2026-07-31</ns0:v>
      </ns0:c>
      <ns0:c r="M106" s="4" t="s">
        <ns0:v>548</ns0:v>
      </ns0:c>
      <ns0:c r="N106" s="4" t="s">
        <ns0:v>526</ns0:v>
      </ns0:c>
      <ns0:c r="O106" s="4" t="s">
        <ns0:v>38</ns0:v>
      </ns0:c>
      <ns0:c r="P106" s="4" t="s">
        <ns0:v>549</ns0:v>
      </ns0:c>
      <ns0:c r="Q106" s="6" t="s">
        <ns0:v>550</ns0:v>
      </ns0:c>
    </ns0:row>
    <ns0:row r="107" customFormat="false" ht="122.35" hidden="false" customHeight="false" outlineLevel="0" collapsed="false">
      <ns0:c r="A107" s="2" t="n">
        <ns0:v>106</ns0:v>
      </ns0:c>
      <ns0:c r="B107" s="3"/>
      <ns0:c r="C107" s="3"/>
      <ns0:c r="D107" s="2" t="s">
        <ns0:v>520</ns0:v>
      </ns0:c>
      <ns0:c r="E107" s="2" t="s">
        <ns0:v>18</ns0:v>
      </ns0:c>
      <ns0:c r="F107" s="4" t="s">
        <ns0:v>19</ns0:v>
      </ns0:c>
      <ns0:c r="G107" s="4" t="s">
        <ns0:v>551</ns0:v>
      </ns0:c>
      <ns0:c r="H107" s="4" t="s">
        <ns0:v>552</ns0:v>
      </ns0:c>
      <ns0:c r="I107" s="4" t="s">
        <ns0:v>553</ns0:v>
      </ns0:c>
      <ns0:c r="J107" s="4" t="s">
        <ns0:v>554</ns0:v>
      </ns0:c>
      <ns0:c r="K107" s="4" t="s">
        <ns0:v>555</ns0:v>
      </ns0:c>
      <ns0:c r="L107" s="5" t="str">
        <ns0:f aca="false">HYPERLINK("https://www.sec.gov/Archives/edgar/data/1326801/000162828026050705/meta-20260630.htm","10-Q filed 2026-07-30")</ns0:f>
        <ns0:v>10-Q filed 2026-07-30</ns0:v>
      </ns0:c>
      <ns0:c r="M107" s="4" t="s">
        <ns0:v>556</ns0:v>
      </ns0:c>
      <ns0:c r="N107" s="4" t="s">
        <ns0:v>526</ns0:v>
      </ns0:c>
      <ns0:c r="O107" s="4" t="s">
        <ns0:v>27</ns0:v>
      </ns0:c>
      <ns0:c r="P107" s="4" t="s">
        <ns0:v>557</ns0:v>
      </ns0:c>
      <ns0:c r="Q107" s="6" t="s">
        <ns0:v>558</ns0:v>
      </ns0:c>
    </ns0:row>
    <ns0:row r="108" customFormat="false" ht="82.05" hidden="false" customHeight="false" outlineLevel="0" collapsed="false">
      <ns0:c r="A108" s="2" t="n">
        <ns0:v>107</ns0:v>
      </ns0:c>
      <ns0:c r="B108" s="3"/>
      <ns0:c r="C108" s="3"/>
      <ns0:c r="D108" s="2" t="s">
        <ns0:v>520</ns0:v>
      </ns0:c>
      <ns0:c r="E108" s="2" t="s">
        <ns0:v>40</ns0:v>
      </ns0:c>
      <ns0:c r="F108" s="4" t="s">
        <ns0:v>19</ns0:v>
      </ns0:c>
      <ns0:c r="G108" s="4" t="s">
        <ns0:v>559</ns0:v>
      </ns0:c>
      <ns0:c r="H108" s="4" t="s">
        <ns0:v>560</ns0:v>
      </ns0:c>
      <ns0:c r="I108" s="4" t="s">
        <ns0:v>561</ns0:v>
      </ns0:c>
      <ns0:c r="J108" s="4" t="s">
        <ns0:v>562</ns0:v>
      </ns0:c>
      <ns0:c r="K108" s="4" t="s">
        <ns0:v>555</ns0:v>
      </ns0:c>
      <ns0:c r="L108" s="5" t="str">
        <ns0:f aca="false">HYPERLINK("https://www.sec.gov/Archives/edgar/data/1326801/000162828026050705/meta-20260630.htm","10-Q filed 2026-07-30")</ns0:f>
        <ns0:v>10-Q filed 2026-07-30</ns0:v>
      </ns0:c>
      <ns0:c r="M108" s="4" t="s">
        <ns0:v>563</ns0:v>
      </ns0:c>
      <ns0:c r="N108" s="4" t="s">
        <ns0:v>526</ns0:v>
      </ns0:c>
      <ns0:c r="O108" s="4" t="s">
        <ns0:v>38</ns0:v>
      </ns0:c>
      <ns0:c r="P108" s="4" t="s">
        <ns0:v>564</ns0:v>
      </ns0:c>
      <ns0:c r="Q108" s="6" t="s">
        <ns0:v>565</ns0:v>
      </ns0:c>
    </ns0:row>
    <ns0:row r="109" customFormat="false" ht="68.65" hidden="false" customHeight="false" outlineLevel="0" collapsed="false">
      <ns0:c r="A109" s="2" t="n">
        <ns0:v>108</ns0:v>
      </ns0:c>
      <ns0:c r="B109" s="3"/>
      <ns0:c r="C109" s="3"/>
      <ns0:c r="D109" s="2" t="s">
        <ns0:v>520</ns0:v>
      </ns0:c>
      <ns0:c r="E109" s="2" t="s">
        <ns0:v>29</ns0:v>
      </ns0:c>
      <ns0:c r="F109" s="4" t="s">
        <ns0:v>30</ns0:v>
      </ns0:c>
      <ns0:c r="G109" s="4" t="s">
        <ns0:v>566</ns0:v>
      </ns0:c>
      <ns0:c r="H109" s="4" t="s">
        <ns0:v>567</ns0:v>
      </ns0:c>
      <ns0:c r="I109" s="4" t="s">
        <ns0:v>568</ns0:v>
      </ns0:c>
      <ns0:c r="J109" s="4" t="s">
        <ns0:v>569</ns0:v>
      </ns0:c>
      <ns0:c r="K109" s="4" t="s">
        <ns0:v>570</ns0:v>
      </ns0:c>
      <ns0:c r="L109" s="5" t="str">
        <ns0:f aca="false">HYPERLINK("https://www.sec.gov/Archives/edgar/data/1341439/000119312526389274/orcl-20260831.htm","10-Q filed 2026-09-11")</ns0:f>
        <ns0:v>10-Q filed 2026-09-11</ns0:v>
      </ns0:c>
      <ns0:c r="M109" s="4" t="s">
        <ns0:v>571</ns0:v>
      </ns0:c>
      <ns0:c r="N109" s="4" t="s">
        <ns0:v>526</ns0:v>
      </ns0:c>
      <ns0:c r="O109" s="4" t="s">
        <ns0:v>38</ns0:v>
      </ns0:c>
      <ns0:c r="P109" s="4" t="s">
        <ns0:v>572</ns0:v>
      </ns0:c>
      <ns0:c r="Q109" s="6" t="s">
        <ns0:v>573</ns0:v>
      </ns0:c>
    </ns0:row>
    <ns0:row r="110" customFormat="false" ht="95.5" hidden="false" customHeight="false" outlineLevel="0" collapsed="false">
      <ns0:c r="A110" s="2" t="n">
        <ns0:v>109</ns0:v>
      </ns0:c>
      <ns0:c r="B110" s="3"/>
      <ns0:c r="C110" s="3"/>
      <ns0:c r="D110" s="2" t="s">
        <ns0:v>520</ns0:v>
      </ns0:c>
      <ns0:c r="E110" s="2" t="s">
        <ns0:v>222</ns0:v>
      </ns0:c>
      <ns0:c r="F110" s="4" t="s">
        <ns0:v>30</ns0:v>
      </ns0:c>
      <ns0:c r="G110" s="4" t="s">
        <ns0:v>574</ns0:v>
      </ns0:c>
      <ns0:c r="H110" s="4" t="s">
        <ns0:v>575</ns0:v>
      </ns0:c>
      <ns0:c r="I110" s="4" t="s">
        <ns0:v>576</ns0:v>
      </ns0:c>
      <ns0:c r="J110" s="4" t="s">
        <ns0:v>577</ns0:v>
      </ns0:c>
      <ns0:c r="K110" s="4" t="s">
        <ns0:v>578</ns0:v>
      </ns0:c>
      <ns0:c r="L110" s="5" t="str">
        <ns0:f aca="false">HYPERLINK("https://www.sec.gov/Archives/edgar/data/1341439/000119312526389274/orcl-20260831.htm","10-Q filed 2026-09-11")</ns0:f>
        <ns0:v>10-Q filed 2026-09-11</ns0:v>
      </ns0:c>
      <ns0:c r="M110" s="4" t="s">
        <ns0:v>579</ns0:v>
      </ns0:c>
      <ns0:c r="N110" s="4" t="s">
        <ns0:v>526</ns0:v>
      </ns0:c>
      <ns0:c r="O110" s="4" t="s">
        <ns0:v>225</ns0:v>
      </ns0:c>
      <ns0:c r="P110" s="4" t="s">
        <ns0:v>580</ns0:v>
      </ns0:c>
      <ns0:c r="Q110" s="6" t="s">
        <ns0:v>581</ns0:v>
      </ns0:c>
    </ns0:row>
    <ns0:row r="111" customFormat="false" ht="82.05" hidden="false" customHeight="false" outlineLevel="0" collapsed="false">
      <ns0:c r="A111" s="2" t="n">
        <ns0:v>110</ns0:v>
      </ns0:c>
      <ns0:c r="B111" s="3"/>
      <ns0:c r="C111" s="3"/>
      <ns0:c r="D111" s="2" t="s">
        <ns0:v>520</ns0:v>
      </ns0:c>
      <ns0:c r="E111" s="2" t="s">
        <ns0:v>486</ns0:v>
      </ns0:c>
      <ns0:c r="F111" s="4" t="s">
        <ns0:v>30</ns0:v>
      </ns0:c>
      <ns0:c r="G111" s="4" t="s">
        <ns0:v>582</ns0:v>
      </ns0:c>
      <ns0:c r="H111" s="4" t="s">
        <ns0:v>583</ns0:v>
      </ns0:c>
      <ns0:c r="I111" s="4" t="s">
        <ns0:v>584</ns0:v>
      </ns0:c>
      <ns0:c r="J111" s="4" t="s">
        <ns0:v>569</ns0:v>
      </ns0:c>
      <ns0:c r="K111" s="4" t="s">
        <ns0:v>570</ns0:v>
      </ns0:c>
      <ns0:c r="L111" s="5" t="str">
        <ns0:f aca="false">HYPERLINK("https://www.sec.gov/Archives/edgar/data/1341439/000119312526389274/orcl-20260831.htm","10-Q filed 2026-09-11")</ns0:f>
        <ns0:v>10-Q filed 2026-09-11</ns0:v>
      </ns0:c>
      <ns0:c r="M111" s="4" t="s">
        <ns0:v>585</ns0:v>
      </ns0:c>
      <ns0:c r="N111" s="4" t="s">
        <ns0:v>526</ns0:v>
      </ns0:c>
      <ns0:c r="O111" s="4" t="s">
        <ns0:v>225</ns0:v>
      </ns0:c>
      <ns0:c r="P111" s="4" t="s">
        <ns0:v>586</ns0:v>
      </ns0:c>
      <ns0:c r="Q111" s="6" t="s">
        <ns0:v>587</ns0:v>
      </ns0:c>
    </ns0:row>
    <ns0:row r="112" customFormat="false" ht="108.95" hidden="false" customHeight="false" outlineLevel="0" collapsed="false">
      <ns0:c r="A112" s="2" t="n">
        <ns0:v>111</ns0:v>
      </ns0:c>
      <ns0:c r="B112" s="3"/>
      <ns0:c r="C112" s="3"/>
      <ns0:c r="D112" s="2" t="s">
        <ns0:v>520</ns0:v>
      </ns0:c>
      <ns0:c r="E112" s="2" t="s">
        <ns0:v>384</ns0:v>
      </ns0:c>
      <ns0:c r="F112" s="4" t="s">
        <ns0:v>30</ns0:v>
      </ns0:c>
      <ns0:c r="G112" s="4" t="s">
        <ns0:v>588</ns0:v>
      </ns0:c>
      <ns0:c r="H112" s="4" t="s">
        <ns0:v>589</ns0:v>
      </ns0:c>
      <ns0:c r="I112" s="4" t="s">
        <ns0:v>590</ns0:v>
      </ns0:c>
      <ns0:c r="J112" s="4" t="s">
        <ns0:v>591</ns0:v>
      </ns0:c>
      <ns0:c r="K112" s="4" t="s">
        <ns0:v>592</ns0:v>
      </ns0:c>
      <ns0:c r="L112" s="5" t="str">
        <ns0:f aca="false">HYPERLINK("https://www.sec.gov/Archives/edgar/data/1341439/000119312526389274/orcl-20260831.htm","10-Q filed 2026-09-11")</ns0:f>
        <ns0:v>10-Q filed 2026-09-11</ns0:v>
      </ns0:c>
      <ns0:c r="M112" s="4" t="s">
        <ns0:v>593</ns0:v>
      </ns0:c>
      <ns0:c r="N112" s="4" t="s">
        <ns0:v>526</ns0:v>
      </ns0:c>
      <ns0:c r="O112" s="4" t="s">
        <ns0:v>225</ns0:v>
      </ns0:c>
      <ns0:c r="P112" s="4" t="s">
        <ns0:v>594</ns0:v>
      </ns0:c>
      <ns0:c r="Q112" s="6" t="s">
        <ns0:v>595</ns0:v>
      </ns0:c>
    </ns0:row>
    <ns0:row r="113" customFormat="false" ht="68.65" hidden="false" customHeight="false" outlineLevel="0" collapsed="false">
      <ns0:c r="A113" s="2" t="n">
        <ns0:v>112</ns0:v>
      </ns0:c>
      <ns0:c r="B113" s="3"/>
      <ns0:c r="C113" s="3"/>
      <ns0:c r="D113" s="2" t="s">
        <ns0:v>520</ns0:v>
      </ns0:c>
      <ns0:c r="E113" s="2" t="s">
        <ns0:v>217</ns0:v>
      </ns0:c>
      <ns0:c r="F113" s="4" t="s">
        <ns0:v>77</ns0:v>
      </ns0:c>
      <ns0:c r="G113" s="4" t="s">
        <ns0:v>596</ns0:v>
      </ns0:c>
      <ns0:c r="H113" s="4" t="s">
        <ns0:v>597</ns0:v>
      </ns0:c>
      <ns0:c r="I113" s="4" t="s">
        <ns0:v>598</ns0:v>
      </ns0:c>
      <ns0:c r="J113" s="4" t="s">
        <ns0:v>599</ns0:v>
      </ns0:c>
      <ns0:c r="K113" s="4" t="s">
        <ns0:v>600</ns0:v>
      </ns0:c>
      <ns0:c r="L113" s="5" t="str">
        <ns0:f aca="false">HYPERLINK("https://www.sec.gov/Archives/edgar/data/1769628/000176962826000366/crwv-20260630.htm","10-Q filed 2026-08-12")</ns0:f>
        <ns0:v>10-Q filed 2026-08-12</ns0:v>
      </ns0:c>
      <ns0:c r="M113" s="4" t="s">
        <ns0:v>601</ns0:v>
      </ns0:c>
      <ns0:c r="N113" s="4" t="s">
        <ns0:v>526</ns0:v>
      </ns0:c>
      <ns0:c r="O113" s="4" t="s">
        <ns0:v>83</ns0:v>
      </ns0:c>
      <ns0:c r="P113" s="4" t="s">
        <ns0:v>602</ns0:v>
      </ns0:c>
      <ns0:c r="Q113" s="6" t="s">
        <ns0:v>603</ns0:v>
      </ns0:c>
    </ns0:row>
    <ns0:row r="114" customFormat="false" ht="82.05" hidden="false" customHeight="false" outlineLevel="0" collapsed="false">
      <ns0:c r="A114" s="2" t="n">
        <ns0:v>113</ns0:v>
      </ns0:c>
      <ns0:c r="B114" s="3"/>
      <ns0:c r="C114" s="3"/>
      <ns0:c r="D114" s="2" t="s">
        <ns0:v>520</ns0:v>
      </ns0:c>
      <ns0:c r="E114" s="2" t="s">
        <ns0:v>76</ns0:v>
      </ns0:c>
      <ns0:c r="F114" s="4" t="s">
        <ns0:v>77</ns0:v>
      </ns0:c>
      <ns0:c r="G114" s="4" t="s">
        <ns0:v>604</ns0:v>
      </ns0:c>
      <ns0:c r="H114" s="4" t="s">
        <ns0:v>605</ns0:v>
      </ns0:c>
      <ns0:c r="I114" s="4" t="s">
        <ns0:v>606</ns0:v>
      </ns0:c>
      <ns0:c r="J114" s="4" t="s">
        <ns0:v>607</ns0:v>
      </ns0:c>
      <ns0:c r="K114" s="4" t="s">
        <ns0:v>561</ns0:v>
      </ns0:c>
      <ns0:c r="L114" s="5" t="str">
        <ns0:f aca="false">HYPERLINK("https://www.sec.gov/Archives/edgar/data/1769628/000176962826000366/crwv-20260630.htm","10-Q filed 2026-08-12")</ns0:f>
        <ns0:v>10-Q filed 2026-08-12</ns0:v>
      </ns0:c>
      <ns0:c r="M114" s="4" t="s">
        <ns0:v>608</ns0:v>
      </ns0:c>
      <ns0:c r="N114" s="4" t="s">
        <ns0:v>526</ns0:v>
      </ns0:c>
      <ns0:c r="O114" s="4" t="s">
        <ns0:v>83</ns0:v>
      </ns0:c>
      <ns0:c r="P114" s="4" t="s">
        <ns0:v>609</ns0:v>
      </ns0:c>
      <ns0:c r="Q114" s="6" t="s">
        <ns0:v>610</ns0:v>
      </ns0:c>
    </ns0:row>
    <ns0:row r="115" customFormat="false" ht="41.75" hidden="false" customHeight="false" outlineLevel="0" collapsed="false">
      <ns0:c r="A115" s="2" t="n">
        <ns0:v>114</ns0:v>
      </ns0:c>
      <ns0:c r="B115" s="3"/>
      <ns0:c r="C115" s="3"/>
      <ns0:c r="D115" s="2" t="s">
        <ns0:v>520</ns0:v>
      </ns0:c>
      <ns0:c r="E115" s="2" t="s">
        <ns0:v>486</ns0:v>
      </ns0:c>
      <ns0:c r="F115" s="4" t="s">
        <ns0:v>77</ns0:v>
      </ns0:c>
      <ns0:c r="G115" s="4" t="s">
        <ns0:v>611</ns0:v>
      </ns0:c>
      <ns0:c r="H115" s="4" t="s">
        <ns0:v>583</ns0:v>
      </ns0:c>
      <ns0:c r="I115" s="4" t="s">
        <ns0:v>584</ns0:v>
      </ns0:c>
      <ns0:c r="J115" s="4" t="s">
        <ns0:v>612</ns0:v>
      </ns0:c>
      <ns0:c r="K115" s="4" t="s">
        <ns0:v>600</ns0:v>
      </ns0:c>
      <ns0:c r="L115" s="5" t="str">
        <ns0:f aca="false">HYPERLINK("https://www.sec.gov/Archives/edgar/data/1769628/000176962826000366/crwv-20260630.htm","10-Q filed 2026-08-12")</ns0:f>
        <ns0:v>10-Q filed 2026-08-12</ns0:v>
      </ns0:c>
      <ns0:c r="M115" s="4" t="s">
        <ns0:v>613</ns0:v>
      </ns0:c>
      <ns0:c r="N115" s="4" t="s">
        <ns0:v>526</ns0:v>
      </ns0:c>
      <ns0:c r="O115" s="4" t="s">
        <ns0:v>225</ns0:v>
      </ns0:c>
      <ns0:c r="P115" s="4" t="s">
        <ns0:v>614</ns0:v>
      </ns0:c>
      <ns0:c r="Q115" s="6" t="s">
        <ns0:v>615</ns0:v>
      </ns0:c>
    </ns0:row>
    <ns0:row r="116" customFormat="false" ht="108.95" hidden="false" customHeight="false" outlineLevel="0" collapsed="false">
      <ns0:c r="A116" s="2" t="n">
        <ns0:v>115</ns0:v>
      </ns0:c>
      <ns0:c r="B116" s="3"/>
      <ns0:c r="C116" s="3"/>
      <ns0:c r="D116" s="2" t="s">
        <ns0:v>520</ns0:v>
      </ns0:c>
      <ns0:c r="E116" s="2" t="s">
        <ns0:v>222</ns0:v>
      </ns0:c>
      <ns0:c r="F116" s="4" t="s">
        <ns0:v>376</ns0:v>
      </ns0:c>
      <ns0:c r="G116" s="4" t="s">
        <ns0:v>616</ns0:v>
      </ns0:c>
      <ns0:c r="H116" s="4" t="s">
        <ns0:v>575</ns0:v>
      </ns0:c>
      <ns0:c r="I116" s="4" t="s">
        <ns0:v>576</ns0:v>
      </ns0:c>
      <ns0:c r="J116" s="4" t="s">
        <ns0:v>617</ns0:v>
      </ns0:c>
      <ns0:c r="K116" s="4" t="s">
        <ns0:v>618</ns0:v>
      </ns0:c>
      <ns0:c r="L116" s="5" t="str">
        <ns0:f aca="false">HYPERLINK("https://www.sec.gov/Archives/edgar/data/1513845/000110465926094844/nbis-20260812xex99d2.htm","6-K filed 2026-08-12: nbis-20260812xex99d2.htm")</ns0:f>
        <ns0:v>6-K filed 2026-08-12: nbis-20260812xex99d2.htm</ns0:v>
      </ns0:c>
      <ns0:c r="M116" s="4" t="s">
        <ns0:v>619</ns0:v>
      </ns0:c>
      <ns0:c r="N116" s="4" t="s">
        <ns0:v>526</ns0:v>
      </ns0:c>
      <ns0:c r="O116" s="4" t="s">
        <ns0:v>225</ns0:v>
      </ns0:c>
      <ns0:c r="P116" s="4" t="s">
        <ns0:v>620</ns0:v>
      </ns0:c>
      <ns0:c r="Q116" s="6" t="s">
        <ns0:v>621</ns0:v>
      </ns0:c>
    </ns0:row>
    <ns0:row r="117" customFormat="false" ht="82.05" hidden="false" customHeight="false" outlineLevel="0" collapsed="false">
      <ns0:c r="A117" s="2" t="n">
        <ns0:v>116</ns0:v>
      </ns0:c>
      <ns0:c r="B117" s="3"/>
      <ns0:c r="C117" s="3"/>
      <ns0:c r="D117" s="2" t="s">
        <ns0:v>520</ns0:v>
      </ns0:c>
      <ns0:c r="E117" s="2" t="s">
        <ns0:v>486</ns0:v>
      </ns0:c>
      <ns0:c r="F117" s="4" t="s">
        <ns0:v>376</ns0:v>
      </ns0:c>
      <ns0:c r="G117" s="4" t="s">
        <ns0:v>622</ns0:v>
      </ns0:c>
      <ns0:c r="H117" s="4" t="s">
        <ns0:v>583</ns0:v>
      </ns0:c>
      <ns0:c r="I117" s="4" t="s">
        <ns0:v>584</ns0:v>
      </ns0:c>
      <ns0:c r="J117" s="4" t="s">
        <ns0:v>623</ns0:v>
      </ns0:c>
      <ns0:c r="K117" s="4" t="s">
        <ns0:v>624</ns0:v>
      </ns0:c>
      <ns0:c r="L117" s="5" t="str">
        <ns0:f aca="false">HYPERLINK("https://www.sec.gov/Archives/edgar/data/1513845/000110465926094844/nbis-20260812xex99d2.htm","6-K filed 2026-08-12: nbis-20260812xex99d2.htm")</ns0:f>
        <ns0:v>6-K filed 2026-08-12: nbis-20260812xex99d2.htm</ns0:v>
      </ns0:c>
      <ns0:c r="M117" s="4" t="s">
        <ns0:v>625</ns0:v>
      </ns0:c>
      <ns0:c r="N117" s="4" t="s">
        <ns0:v>526</ns0:v>
      </ns0:c>
      <ns0:c r="O117" s="4" t="s">
        <ns0:v>225</ns0:v>
      </ns0:c>
      <ns0:c r="P117" s="4" t="s">
        <ns0:v>626</ns0:v>
      </ns0:c>
      <ns0:c r="Q117" s="6" t="s">
        <ns0:v>627</ns0:v>
      </ns0:c>
    </ns0:row>
    <ns0:row r="118" customFormat="false" ht="108.95" hidden="false" customHeight="false" outlineLevel="0" collapsed="false">
      <ns0:c r="A118" s="2" t="n">
        <ns0:v>117</ns0:v>
      </ns0:c>
      <ns0:c r="B118" s="3"/>
      <ns0:c r="C118" s="3"/>
      <ns0:c r="D118" s="2" t="s">
        <ns0:v>520</ns0:v>
      </ns0:c>
      <ns0:c r="E118" s="2" t="s">
        <ns0:v>384</ns0:v>
      </ns0:c>
      <ns0:c r="F118" s="4" t="s">
        <ns0:v>376</ns0:v>
      </ns0:c>
      <ns0:c r="G118" s="4" t="s">
        <ns0:v>628</ns0:v>
      </ns0:c>
      <ns0:c r="H118" s="4" t="s">
        <ns0:v>589</ns0:v>
      </ns0:c>
      <ns0:c r="I118" s="4" t="s">
        <ns0:v>590</ns0:v>
      </ns0:c>
      <ns0:c r="J118" s="4" t="s">
        <ns0:v>629</ns0:v>
      </ns0:c>
      <ns0:c r="K118" s="4" t="s">
        <ns0:v>630</ns0:v>
      </ns0:c>
      <ns0:c r="L118" s="5" t="str">
        <ns0:f aca="false">HYPERLINK("https://www.sec.gov/Archives/edgar/data/1513845/000110465926094844/nbis-20260812xex99d2.htm","6-K filed 2026-08-12: nbis-20260812xex99d2.htm")</ns0:f>
        <ns0:v>6-K filed 2026-08-12: nbis-20260812xex99d2.htm</ns0:v>
      </ns0:c>
      <ns0:c r="M118" s="4" t="s">
        <ns0:v>631</ns0:v>
      </ns0:c>
      <ns0:c r="N118" s="4" t="s">
        <ns0:v>526</ns0:v>
      </ns0:c>
      <ns0:c r="O118" s="4" t="s">
        <ns0:v>225</ns0:v>
      </ns0:c>
      <ns0:c r="P118" s="4" t="s">
        <ns0:v>632</ns0:v>
      </ns0:c>
      <ns0:c r="Q118" s="6" t="s">
        <ns0:v>633</ns0:v>
      </ns0:c>
    </ns0:row>
    <ns0:row r="119" customFormat="false" ht="189.55" hidden="false" customHeight="false" outlineLevel="0" collapsed="false">
      <ns0:c r="A119" s="2" t="n">
        <ns0:v>118</ns0:v>
      </ns0:c>
      <ns0:c r="B119" s="3"/>
      <ns0:c r="C119" s="3"/>
      <ns0:c r="D119" s="2" t="s">
        <ns0:v>520</ns0:v>
      </ns0:c>
      <ns0:c r="E119" s="2" t="s">
        <ns0:v>217</ns0:v>
      </ns0:c>
      <ns0:c r="F119" s="4" t="s">
        <ns0:v>634</ns0:v>
      </ns0:c>
      <ns0:c r="G119" s="4" t="s">
        <ns0:v>635</ns0:v>
      </ns0:c>
      <ns0:c r="H119" s="4" t="s">
        <ns0:v>597</ns0:v>
      </ns0:c>
      <ns0:c r="I119" s="4" t="s">
        <ns0:v>598</ns0:v>
      </ns0:c>
      <ns0:c r="J119" s="4" t="s">
        <ns0:v>636</ns0:v>
      </ns0:c>
      <ns0:c r="K119" s="4" t="s">
        <ns0:v>555</ns0:v>
      </ns0:c>
      <ns0:c r="L119" s="5" t="str">
        <ns0:f aca="false">HYPERLINK("https://www.sec.gov/Archives/edgar/data/1101239/000110123926000147/eqix-20260630.htm","10-Q filed 2026-07-29")</ns0:f>
        <ns0:v>10-Q filed 2026-07-29</ns0:v>
      </ns0:c>
      <ns0:c r="M119" s="4" t="s">
        <ns0:v>637</ns0:v>
      </ns0:c>
      <ns0:c r="N119" s="4" t="s">
        <ns0:v>526</ns0:v>
      </ns0:c>
      <ns0:c r="O119" s="4" t="s">
        <ns0:v>83</ns0:v>
      </ns0:c>
      <ns0:c r="P119" s="4" t="s">
        <ns0:v>638</ns0:v>
      </ns0:c>
      <ns0:c r="Q119" s="6" t="s">
        <ns0:v>639</ns0:v>
      </ns0:c>
    </ns0:row>
    <ns0:row r="120" customFormat="false" ht="41.75" hidden="false" customHeight="false" outlineLevel="0" collapsed="false">
      <ns0:c r="A120" s="2" t="n">
        <ns0:v>119</ns0:v>
      </ns0:c>
      <ns0:c r="B120" s="3"/>
      <ns0:c r="C120" s="3"/>
      <ns0:c r="D120" s="2" t="s">
        <ns0:v>520</ns0:v>
      </ns0:c>
      <ns0:c r="E120" s="2" t="s">
        <ns0:v>429</ns0:v>
      </ns0:c>
      <ns0:c r="F120" s="4" t="s">
        <ns0:v>411</ns0:v>
      </ns0:c>
      <ns0:c r="G120" s="4" t="s">
        <ns0:v>640</ns0:v>
      </ns0:c>
      <ns0:c r="H120" s="4"/>
      <ns0:c r="I120" s="4"/>
      <ns0:c r="J120" s="4"/>
      <ns0:c r="K120" s="4"/>
      <ns0:c r="L120" s="5" t="str">
        <ns0:f aca="false">HYPERLINK("https://www.sec.gov/Archives/edgar/data/1045810/000104581026000075/nvda-20260726.htm","10-Q filed 2026-08-26")</ns0:f>
        <ns0:v>10-Q filed 2026-08-26</ns0:v>
      </ns0:c>
      <ns0:c r="M120" s="4" t="s">
        <ns0:v>641</ns0:v>
      </ns0:c>
      <ns0:c r="N120" s="4" t="s">
        <ns0:v>526</ns0:v>
      </ns0:c>
      <ns0:c r="O120" s="4"/>
      <ns0:c r="P120" s="4" t="s">
        <ns0:v>642</ns0:v>
      </ns0:c>
      <ns0:c r="Q120" s="6" t="s">
        <ns0:v>643</ns0:v>
      </ns0:c>
    </ns0:row>
    <ns0:row r="121" customFormat="false" ht="28.35" hidden="false" customHeight="false" outlineLevel="0" collapsed="false">
      <ns0:c r="A121" s="2" t="n">
        <ns0:v>120</ns0:v>
      </ns0:c>
      <ns0:c r="B121" s="3"/>
      <ns0:c r="C121" s="3"/>
      <ns0:c r="D121" s="2" t="s">
        <ns0:v>520</ns0:v>
      </ns0:c>
      <ns0:c r="E121" s="2" t="s">
        <ns0:v>529</ns0:v>
      </ns0:c>
      <ns0:c r="F121" s="4" t="s">
        <ns0:v>411</ns0:v>
      </ns0:c>
      <ns0:c r="G121" s="4" t="s">
        <ns0:v>644</ns0:v>
      </ns0:c>
      <ns0:c r="H121" s="4"/>
      <ns0:c r="I121" s="4"/>
      <ns0:c r="J121" s="4"/>
      <ns0:c r="K121" s="4"/>
      <ns0:c r="L121" s="5" t="str">
        <ns0:f aca="false">HYPERLINK("https://s201.q4cdn.com/141608511/files/content_files/TRANSCRIPT_-NVIDIA-Corp-NVDA-US-Q2-2027-Earnings-Call-26-August-2026-5_00-PM-ET.pdf","Second Quarter 2027: Transcript")</ns0:f>
        <ns0:v>Second Quarter 2027: Transcript</ns0:v>
      </ns0:c>
      <ns0:c r="M121" s="4" t="s">
        <ns0:v>645</ns0:v>
      </ns0:c>
      <ns0:c r="N121" s="4" t="s">
        <ns0:v>526</ns0:v>
      </ns0:c>
      <ns0:c r="O121" s="4"/>
      <ns0:c r="P121" s="4" t="s">
        <ns0:v>642</ns0:v>
      </ns0:c>
      <ns0:c r="Q121" s="6" t="s">
        <ns0:v>646</ns0:v>
      </ns0:c>
    </ns0:row>
    <ns0:row r="122" customFormat="false" ht="41.75" hidden="false" customHeight="false" outlineLevel="0" collapsed="false">
      <ns0:c r="A122" s="2" t="n">
        <ns0:v>121</ns0:v>
      </ns0:c>
      <ns0:c r="B122" s="3"/>
      <ns0:c r="C122" s="3"/>
      <ns0:c r="D122" s="2" t="s">
        <ns0:v>520</ns0:v>
      </ns0:c>
      <ns0:c r="E122" s="2" t="s">
        <ns0:v>312</ns0:v>
      </ns0:c>
      <ns0:c r="F122" s="4" t="s">
        <ns0:v>307</ns0:v>
      </ns0:c>
      <ns0:c r="G122" s="4" t="s">
        <ns0:v>647</ns0:v>
      </ns0:c>
      <ns0:c r="H122" s="4"/>
      <ns0:c r="I122" s="4"/>
      <ns0:c r="J122" s="4"/>
      <ns0:c r="K122" s="4"/>
      <ns0:c r="L122" s="5" t="str">
        <ns0:f aca="false">HYPERLINK("https://www.sec.gov/Archives/edgar/data/789019/000119312526323660/msft-20260630.htm","10-K filed 2026-07-29")</ns0:f>
        <ns0:v>10-K filed 2026-07-29</ns0:v>
      </ns0:c>
      <ns0:c r="M122" s="4" t="s">
        <ns0:v>648</ns0:v>
      </ns0:c>
      <ns0:c r="N122" s="4" t="s">
        <ns0:v>526</ns0:v>
      </ns0:c>
      <ns0:c r="O122" s="4"/>
      <ns0:c r="P122" s="4" t="s">
        <ns0:v>642</ns0:v>
      </ns0:c>
      <ns0:c r="Q122" s="6" t="s">
        <ns0:v>649</ns0:v>
      </ns0:c>
    </ns0:row>
    <ns0:row r="123" customFormat="false" ht="68.65" hidden="false" customHeight="false" outlineLevel="0" collapsed="false">
      <ns0:c r="A123" s="2" t="n">
        <ns0:v>122</ns0:v>
      </ns0:c>
      <ns0:c r="B123" s="3"/>
      <ns0:c r="C123" s="3"/>
      <ns0:c r="D123" s="2" t="s">
        <ns0:v>520</ns0:v>
      </ns0:c>
      <ns0:c r="E123" s="2" t="s">
        <ns0:v>650</ns0:v>
      </ns0:c>
      <ns0:c r="F123" s="4" t="s">
        <ns0:v>307</ns0:v>
      </ns0:c>
      <ns0:c r="G123" s="4" t="s">
        <ns0:v>651</ns0:v>
      </ns0:c>
      <ns0:c r="H123" s="4"/>
      <ns0:c r="I123" s="4"/>
      <ns0:c r="J123" s="4"/>
      <ns0:c r="K123" s="4"/>
      <ns0:c r="L123" s="5" t="str">
        <ns0:f aca="false">HYPERLINK("https://www.microsoft.com/en-us/investor/events/fy-2026/earnings-fy-2026-q4","Microsoft earnings call transcript")</ns0:f>
        <ns0:v>Microsoft earnings call transcript</ns0:v>
      </ns0:c>
      <ns0:c r="M123" s="4" t="s">
        <ns0:v>652</ns0:v>
      </ns0:c>
      <ns0:c r="N123" s="4" t="s">
        <ns0:v>526</ns0:v>
      </ns0:c>
      <ns0:c r="O123" s="4"/>
      <ns0:c r="P123" s="4" t="s">
        <ns0:v>642</ns0:v>
      </ns0:c>
      <ns0:c r="Q123" s="6" t="s">
        <ns0:v>653</ns0:v>
      </ns0:c>
    </ns0:row>
    <ns0:row r="124" customFormat="false" ht="41.75" hidden="false" customHeight="false" outlineLevel="0" collapsed="false">
      <ns0:c r="A124" s="2" t="n">
        <ns0:v>123</ns0:v>
      </ns0:c>
      <ns0:c r="B124" s="3"/>
      <ns0:c r="C124" s="3"/>
      <ns0:c r="D124" s="2" t="s">
        <ns0:v>520</ns0:v>
      </ns0:c>
      <ns0:c r="E124" s="2" t="s">
        <ns0:v>188</ns0:v>
      </ns0:c>
      <ns0:c r="F124" s="4" t="s">
        <ns0:v>48</ns0:v>
      </ns0:c>
      <ns0:c r="G124" s="4" t="s">
        <ns0:v>654</ns0:v>
      </ns0:c>
      <ns0:c r="H124" s="4"/>
      <ns0:c r="I124" s="4"/>
      <ns0:c r="J124" s="4"/>
      <ns0:c r="K124" s="4"/>
      <ns0:c r="L124" s="5" t="str">
        <ns0:f aca="false">HYPERLINK("https://www.sec.gov/Archives/edgar/data/1018724/000101872426000024/amzn-20260630xex991.htm","Results release (8-K filed 2026-07-30): amzn-20260630xex991.htm")</ns0:f>
        <ns0:v>Results release (8-K filed 2026-07-30): amzn-20260630xex991.htm</ns0:v>
      </ns0:c>
      <ns0:c r="M124" s="4" t="s">
        <ns0:v>655</ns0:v>
      </ns0:c>
      <ns0:c r="N124" s="4" t="s">
        <ns0:v>526</ns0:v>
      </ns0:c>
      <ns0:c r="O124" s="4"/>
      <ns0:c r="P124" s="4" t="s">
        <ns0:v>642</ns0:v>
      </ns0:c>
      <ns0:c r="Q124" s="6" t="s">
        <ns0:v>656</ns0:v>
      </ns0:c>
    </ns0:row>
    <ns0:row r="125" customFormat="false" ht="55.2" hidden="false" customHeight="false" outlineLevel="0" collapsed="false">
      <ns0:c r="A125" s="2" t="n">
        <ns0:v>124</ns0:v>
      </ns0:c>
      <ns0:c r="B125" s="3"/>
      <ns0:c r="C125" s="3"/>
      <ns0:c r="D125" s="2" t="s">
        <ns0:v>520</ns0:v>
      </ns0:c>
      <ns0:c r="E125" s="2" t="s">
        <ns0:v>165</ns0:v>
      </ns0:c>
      <ns0:c r="F125" s="4" t="s">
        <ns0:v>48</ns0:v>
      </ns0:c>
      <ns0:c r="G125" s="4" t="s">
        <ns0:v>657</ns0:v>
      </ns0:c>
      <ns0:c r="H125" s="4"/>
      <ns0:c r="I125" s="4"/>
      <ns0:c r="J125" s="4"/>
      <ns0:c r="K125" s="4"/>
      <ns0:c r="L125" s="5" t="str">
        <ns0:f aca="false">HYPERLINK("https://www.sec.gov/Archives/edgar/data/1018724/000101872426000026/amzn-20260630.htm","10-Q filed 2026-07-31")</ns0:f>
        <ns0:v>10-Q filed 2026-07-31</ns0:v>
      </ns0:c>
      <ns0:c r="M125" s="4" t="s">
        <ns0:v>658</ns0:v>
      </ns0:c>
      <ns0:c r="N125" s="4" t="s">
        <ns0:v>526</ns0:v>
      </ns0:c>
      <ns0:c r="O125" s="4"/>
      <ns0:c r="P125" s="4" t="s">
        <ns0:v>642</ns0:v>
      </ns0:c>
      <ns0:c r="Q125" s="6" t="s">
        <ns0:v>659</ns0:v>
      </ns0:c>
    </ns0:row>
    <ns0:row r="126" customFormat="false" ht="28.35" hidden="false" customHeight="false" outlineLevel="0" collapsed="false">
      <ns0:c r="A126" s="2" t="n">
        <ns0:v>125</ns0:v>
      </ns0:c>
      <ns0:c r="B126" s="3"/>
      <ns0:c r="C126" s="3"/>
      <ns0:c r="D126" s="2" t="s">
        <ns0:v>520</ns0:v>
      </ns0:c>
      <ns0:c r="E126" s="2" t="s">
        <ns0:v>384</ns0:v>
      </ns0:c>
      <ns0:c r="F126" s="4" t="s">
        <ns0:v>30</ns0:v>
      </ns0:c>
      <ns0:c r="G126" s="4" t="s">
        <ns0:v>660</ns0:v>
      </ns0:c>
      <ns0:c r="H126" s="4"/>
      <ns0:c r="I126" s="4"/>
      <ns0:c r="J126" s="4"/>
      <ns0:c r="K126" s="4"/>
      <ns0:c r="L126" s="5" t="str">
        <ns0:f aca="false">HYPERLINK("https://www.sec.gov/Archives/edgar/data/1341439/000119312526389274/orcl-20260831.htm","10-Q filed 2026-09-11")</ns0:f>
        <ns0:v>10-Q filed 2026-09-11</ns0:v>
      </ns0:c>
      <ns0:c r="M126" s="4" t="s">
        <ns0:v>661</ns0:v>
      </ns0:c>
      <ns0:c r="N126" s="4" t="s">
        <ns0:v>526</ns0:v>
      </ns0:c>
      <ns0:c r="O126" s="4"/>
      <ns0:c r="P126" s="4" t="s">
        <ns0:v>642</ns0:v>
      </ns0:c>
      <ns0:c r="Q126" s="6" t="s">
        <ns0:v>662</ns0:v>
      </ns0:c>
    </ns0:row>
    <ns0:row r="127" customFormat="false" ht="55.2" hidden="false" customHeight="false" outlineLevel="0" collapsed="false">
      <ns0:c r="A127" s="2" t="n">
        <ns0:v>126</ns0:v>
      </ns0:c>
      <ns0:c r="B127" s="3"/>
      <ns0:c r="C127" s="3"/>
      <ns0:c r="D127" s="2" t="s">
        <ns0:v>520</ns0:v>
      </ns0:c>
      <ns0:c r="E127" s="2" t="s">
        <ns0:v>663</ns0:v>
      </ns0:c>
      <ns0:c r="F127" s="4" t="s">
        <ns0:v>77</ns0:v>
      </ns0:c>
      <ns0:c r="G127" s="4" t="s">
        <ns0:v>664</ns0:v>
      </ns0:c>
      <ns0:c r="H127" s="4"/>
      <ns0:c r="I127" s="4"/>
      <ns0:c r="J127" s="4"/>
      <ns0:c r="K127" s="4"/>
      <ns0:c r="L127" s="5" t="str">
        <ns0:f aca="false">HYPERLINK("https://www.sec.gov/Archives/edgar/data/1769628/000176962826000366/crwv-20260630.htm","10-Q filed 2026-08-12")</ns0:f>
        <ns0:v>10-Q filed 2026-08-12</ns0:v>
      </ns0:c>
      <ns0:c r="M127" s="4" t="s">
        <ns0:v>665</ns0:v>
      </ns0:c>
      <ns0:c r="N127" s="4" t="s">
        <ns0:v>526</ns0:v>
      </ns0:c>
      <ns0:c r="O127" s="4"/>
      <ns0:c r="P127" s="4" t="s">
        <ns0:v>642</ns0:v>
      </ns0:c>
      <ns0:c r="Q127" s="6" t="s">
        <ns0:v>666</ns0:v>
      </ns0:c>
    </ns0:row>
    <ns0:row r="128" customFormat="false" ht="41.75" hidden="false" customHeight="false" outlineLevel="0" collapsed="false">
      <ns0:c r="A128" s="2" t="n">
        <ns0:v>127</ns0:v>
      </ns0:c>
      <ns0:c r="B128" s="3"/>
      <ns0:c r="C128" s="3"/>
      <ns0:c r="D128" s="2" t="s">
        <ns0:v>520</ns0:v>
      </ns0:c>
      <ns0:c r="E128" s="2" t="s">
        <ns0:v>217</ns0:v>
      </ns0:c>
      <ns0:c r="F128" s="4" t="s">
        <ns0:v>634</ns0:v>
      </ns0:c>
      <ns0:c r="G128" s="4" t="s">
        <ns0:v>667</ns0:v>
      </ns0:c>
      <ns0:c r="H128" s="4"/>
      <ns0:c r="I128" s="4"/>
      <ns0:c r="J128" s="4"/>
      <ns0:c r="K128" s="4"/>
      <ns0:c r="L128" s="5" t="str">
        <ns0:f aca="false">HYPERLINK("https://www.sec.gov/Archives/edgar/data/1101239/000110123926000147/eqix-20260630.htm","10-Q filed 2026-07-29")</ns0:f>
        <ns0:v>10-Q filed 2026-07-29</ns0:v>
      </ns0:c>
      <ns0:c r="M128" s="4" t="s">
        <ns0:v>668</ns0:v>
      </ns0:c>
      <ns0:c r="N128" s="4" t="s">
        <ns0:v>526</ns0:v>
      </ns0:c>
      <ns0:c r="O128" s="4"/>
      <ns0:c r="P128" s="4" t="s">
        <ns0:v>642</ns0:v>
      </ns0:c>
      <ns0:c r="Q128" s="6" t="s">
        <ns0:v>669</ns0:v>
      </ns0:c>
    </ns0:row>
    <ns0:row r="129" customFormat="false" ht="68.65" hidden="false" customHeight="false" outlineLevel="0" collapsed="false">
      <ns0:c r="A129" s="2" t="n">
        <ns0:v>128</ns0:v>
      </ns0:c>
      <ns0:c r="B129" s="3"/>
      <ns0:c r="C129" s="3"/>
      <ns0:c r="D129" s="2" t="s">
        <ns0:v>520</ns0:v>
      </ns0:c>
      <ns0:c r="E129" s="2" t="s">
        <ns0:v>217</ns0:v>
      </ns0:c>
      <ns0:c r="F129" s="4" t="s">
        <ns0:v>634</ns0:v>
      </ns0:c>
      <ns0:c r="G129" s="4" t="s">
        <ns0:v>670</ns0:v>
      </ns0:c>
      <ns0:c r="H129" s="4"/>
      <ns0:c r="I129" s="4"/>
      <ns0:c r="J129" s="4"/>
      <ns0:c r="K129" s="4"/>
      <ns0:c r="L129" s="5" t="str">
        <ns0:f aca="false">HYPERLINK("https://www.sec.gov/Archives/edgar/data/1101239/000110123926000147/eqix-20260630.htm","10-Q filed 2026-07-29")</ns0:f>
        <ns0:v>10-Q filed 2026-07-29</ns0:v>
      </ns0:c>
      <ns0:c r="M129" s="4" t="s">
        <ns0:v>671</ns0:v>
      </ns0:c>
      <ns0:c r="N129" s="4" t="s">
        <ns0:v>526</ns0:v>
      </ns0:c>
      <ns0:c r="O129" s="4"/>
      <ns0:c r="P129" s="4" t="s">
        <ns0:v>642</ns0:v>
      </ns0:c>
      <ns0:c r="Q129" s="6" t="s">
        <ns0:v>672</ns0:v>
      </ns0:c>
    </ns0:row>
    <ns0:row r="130" customFormat="false" ht="68.65" hidden="false" customHeight="false" outlineLevel="0" collapsed="false">
      <ns0:c r="A130" s="2" t="n">
        <ns0:v>129</ns0:v>
      </ns0:c>
      <ns0:c r="B130" s="3"/>
      <ns0:c r="C130" s="3"/>
      <ns0:c r="D130" s="2" t="s">
        <ns0:v>520</ns0:v>
      </ns0:c>
      <ns0:c r="E130" s="2" t="s">
        <ns0:v>217</ns0:v>
      </ns0:c>
      <ns0:c r="F130" s="4" t="s">
        <ns0:v>634</ns0:v>
      </ns0:c>
      <ns0:c r="G130" s="4" t="s">
        <ns0:v>673</ns0:v>
      </ns0:c>
      <ns0:c r="H130" s="4"/>
      <ns0:c r="I130" s="4"/>
      <ns0:c r="J130" s="4"/>
      <ns0:c r="K130" s="4"/>
      <ns0:c r="L130" s="5" t="str">
        <ns0:f aca="false">HYPERLINK("https://www.sec.gov/Archives/edgar/data/1101239/000110123926000147/eqix-20260630.htm","10-Q filed 2026-07-29")</ns0:f>
        <ns0:v>10-Q filed 2026-07-29</ns0:v>
      </ns0:c>
      <ns0:c r="M130" s="4" t="s">
        <ns0:v>674</ns0:v>
      </ns0:c>
      <ns0:c r="N130" s="4" t="s">
        <ns0:v>526</ns0:v>
      </ns0:c>
      <ns0:c r="O130" s="4"/>
      <ns0:c r="P130" s="4" t="s">
        <ns0:v>642</ns0:v>
      </ns0:c>
      <ns0:c r="Q130" s="6" t="s">
        <ns0:v>675</ns0:v>
      </ns0:c>
    </ns0:row>
    <ns0:row r="131" customFormat="false" ht="68.65" hidden="false" customHeight="false" outlineLevel="0" collapsed="false">
      <ns0:c r="A131" s="2" t="n">
        <ns0:v>130</ns0:v>
      </ns0:c>
      <ns0:c r="B131" s="3"/>
      <ns0:c r="C131" s="3"/>
      <ns0:c r="D131" s="2" t="s">
        <ns0:v>520</ns0:v>
      </ns0:c>
      <ns0:c r="E131" s="2" t="s">
        <ns0:v>217</ns0:v>
      </ns0:c>
      <ns0:c r="F131" s="4" t="s">
        <ns0:v>634</ns0:v>
      </ns0:c>
      <ns0:c r="G131" s="4" t="s">
        <ns0:v>676</ns0:v>
      </ns0:c>
      <ns0:c r="H131" s="4"/>
      <ns0:c r="I131" s="4"/>
      <ns0:c r="J131" s="4"/>
      <ns0:c r="K131" s="4"/>
      <ns0:c r="L131" s="5" t="str">
        <ns0:f aca="false">HYPERLINK("https://www.sec.gov/Archives/edgar/data/1101239/000110123926000147/eqix-20260630.htm","10-Q filed 2026-07-29")</ns0:f>
        <ns0:v>10-Q filed 2026-07-29</ns0:v>
      </ns0:c>
      <ns0:c r="M131" s="4" t="s">
        <ns0:v>677</ns0:v>
      </ns0:c>
      <ns0:c r="N131" s="4" t="s">
        <ns0:v>526</ns0:v>
      </ns0:c>
      <ns0:c r="O131" s="4"/>
      <ns0:c r="P131" s="4" t="s">
        <ns0:v>642</ns0:v>
      </ns0:c>
      <ns0:c r="Q131" s="6" t="s">
        <ns0:v>678</ns0:v>
      </ns0:c>
    </ns0:row>
    <ns0:row r="132" customFormat="false" ht="41.75" hidden="false" customHeight="false" outlineLevel="0" collapsed="false">
      <ns0:c r="A132" s="2" t="n">
        <ns0:v>131</ns0:v>
      </ns0:c>
      <ns0:c r="B132" s="3"/>
      <ns0:c r="C132" s="3"/>
      <ns0:c r="D132" s="2" t="s">
        <ns0:v>520</ns0:v>
      </ns0:c>
      <ns0:c r="E132" s="2" t="s">
        <ns0:v>217</ns0:v>
      </ns0:c>
      <ns0:c r="F132" s="4" t="s">
        <ns0:v>634</ns0:v>
      </ns0:c>
      <ns0:c r="G132" s="4" t="s">
        <ns0:v>255</ns0:v>
      </ns0:c>
      <ns0:c r="H132" s="4"/>
      <ns0:c r="I132" s="4"/>
      <ns0:c r="J132" s="4"/>
      <ns0:c r="K132" s="4"/>
      <ns0:c r="L132" s="5" t="str">
        <ns0:f aca="false">HYPERLINK("https://www.sec.gov/Archives/edgar/data/1101239/000110123926000147/eqix-20260630.htm","10-Q filed 2026-07-29")</ns0:f>
        <ns0:v>10-Q filed 2026-07-29</ns0:v>
      </ns0:c>
      <ns0:c r="M132" s="4" t="s">
        <ns0:v>679</ns0:v>
      </ns0:c>
      <ns0:c r="N132" s="4" t="s">
        <ns0:v>526</ns0:v>
      </ns0:c>
      <ns0:c r="O132" s="4"/>
      <ns0:c r="P132" s="4" t="s">
        <ns0:v>642</ns0:v>
      </ns0:c>
      <ns0:c r="Q132" s="6" t="s">
        <ns0:v>680</ns0:v>
      </ns0:c>
    </ns0:row>
  </ns0:sheetData>
  <ns0:autoFilter ref="A1:Q132"/>
  <ns0:dataValidations count="5">
    <ns0:dataValidation allowBlank="true" error="Choose from the list: later, approve, keep paper, reader wrong" errorStyle="warning" errorTitle="Not one of the choices" operator="between" showDropDown="false" showErrorMessage="true" showInputMessage="true" sqref="B2:B9" type="list">
      <ns0:formula1>"later,approve,keep paper,reader wrong"</ns0:formula1>
      <ns0:formula2>0</ns0:formula2>
    </ns0:dataValidation>
    <ns0:dataValidation allowBlank="true" error="Choose from the list: later, approve, keep paper, reader wrong" errorStyle="warning" errorTitle="Not one of the choices" operator="between" showDropDown="false" showErrorMessage="true" showInputMessage="true" sqref="B10:B12" type="list">
      <ns0:formula1>"later,approve,keep paper,reader wrong"</ns0:formula1>
      <ns0:formula2>0</ns0:formula2>
    </ns0:dataValidation>
    <ns0:dataValidation allowBlank="true" error="Choose from the list: later, approve, keep paper, reader wrong" errorStyle="warning" errorTitle="Not one of the choices" operator="between" showDropDown="false" showErrorMessage="true" showInputMessage="true" sqref="B13" type="list">
      <ns0:formula1>"later,approve,keep paper,reader wrong"</ns0:formula1>
      <ns0:formula2>0</ns0:formula2>
    </ns0:dataValidation>
    <ns0:dataValidation allowBlank="true" error="Choose from the list: later, use, dismiss" errorStyle="warning" errorTitle="Not one of the choices" operator="between" showDropDown="false" showErrorMessage="true" showInputMessage="true" sqref="B14:B102" type="list">
      <ns0:formula1>"later,use,dismiss"</ns0:formula1>
      <ns0:formula2>0</ns0:formula2>
    </ns0:dataValidation>
    <ns0:dataValidation allowBlank="true" error="Choose from the list: later, dismiss" errorStyle="warning" errorTitle="Not one of the choices" operator="between" showDropDown="false" showErrorMessage="true" showInputMessage="true" sqref="B103:B132" type="list">
      <ns0:formula1>"later,dismiss"</ns0:formula1>
      <ns0:formula2>0</ns0:formula2>
    </ns0:dataValidation>
  </ns0:dataValidations>
  <ns0:printOptions headings="false" gridLines="false" gridLinesSet="true" horizontalCentered="false" verticalCentered="false"/>
  <ns0:pageMargins left="0.4" right="0.4" top="0.4" bottom="0.4" header="0.511811023622047" footer="0.511811023622047"/>
  <ns0:pageSetup paperSize="9" scale="100" fitToWidth="1" fitToHeight="0" pageOrder="downThenOver" orientation="landscape" blackAndWhite="false" draft="false" cellComments="none" horizontalDpi="300" verticalDpi="300" copies="1"/>
  <ns0:headerFooter differentFirst="false" differentOddEven="false">
    <ns0:oddHeader/>
    <ns0:oddFooter/>
  </ns0:headerFooter>
  <ns0:drawing ns1:id="rId1"/>
</ns0:worksheet>
</file>

<file path=xl/worksheets/sheet2.xml><?xml version="1.0" encoding="utf-8"?>
<ns0:worksheet xmlns:ns0="http://schemas.openxmlformats.org/spreadsheetml/2006/main">
  <ns0:sheetPr filterMode="false">
    <ns0:pageSetUpPr fitToPage="true"/>
  </ns0:sheetPr>
  <ns0:dimension ref="A1:A21"/>
  <ns0:sheetViews>
    <ns0:sheetView showFormulas="false" showGridLines="tru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zeroHeight="false" outlineLevelRow="0" outlineLevelCol="0"/>
  <ns0:cols>
    <ns0:col collapsed="false" customWidth="true" hidden="false" outlineLevel="0" max="1" min="1" style="0" width="110"/>
  </ns0:cols>
  <ns0:sheetData>
    <ns0:row r="1" customFormat="false" ht="17.35" hidden="false" customHeight="false" outlineLevel="0" collapsed="false">
      <ns0:c r="A1" s="7" t="s">
        <ns0:v>681</ns0:v>
      </ns0:c>
    </ns0:row>
    <ns0:row r="2" customFormat="false" ht="15" hidden="false" customHeight="false" outlineLevel="0" collapsed="false">
      <ns0:c r="A2" s="4" t="s">
        <ns0:v>682</ns0:v>
      </ns0:c>
    </ns0:row>
    <ns0:row r="3" customFormat="false" ht="15" hidden="false" customHeight="false" outlineLevel="0" collapsed="false">
      <ns0:c r="A3" s="4" t="s">
        <ns0:v>683</ns0:v>
      </ns0:c>
    </ns0:row>
    <ns0:row r="4" customFormat="false" ht="15" hidden="false" customHeight="false" outlineLevel="0" collapsed="false">
      <ns0:c r="A4" s="4"/>
    </ns0:row>
    <ns0:row r="5" customFormat="false" ht="28.35" hidden="false" customHeight="false" outlineLevel="0" collapsed="false">
      <ns0:c r="A5" s="4" t="s">
        <ns0:v>684</ns0:v>
      </ns0:c>
    </ns0:row>
    <ns0:row r="6" customFormat="false" ht="15" hidden="false" customHeight="false" outlineLevel="0" collapsed="false">
      <ns0:c r="A6" s="4" t="s">
        <ns0:v>685</ns0:v>
      </ns0:c>
    </ns0:row>
    <ns0:row r="7" customFormat="false" ht="15" hidden="false" customHeight="false" outlineLevel="0" collapsed="false">
      <ns0:c r="A7" s="4" t="s">
        <ns0:v>686</ns0:v>
      </ns0:c>
    </ns0:row>
    <ns0:row r="8" customFormat="false" ht="15" hidden="false" customHeight="false" outlineLevel="0" collapsed="false">
      <ns0:c r="A8" s="4" t="s">
        <ns0:v>687</ns0:v>
      </ns0:c>
    </ns0:row>
    <ns0:row r="9" customFormat="false" ht="15" hidden="false" customHeight="false" outlineLevel="0" collapsed="false">
      <ns0:c r="A9" s="4" t="s">
        <ns0:v>688</ns0:v>
      </ns0:c>
    </ns0:row>
    <ns0:row r="10" customFormat="false" ht="15" hidden="false" customHeight="false" outlineLevel="0" collapsed="false">
      <ns0:c r="A10" s="4" t="s">
        <ns0:v>689</ns0:v>
      </ns0:c>
    </ns0:row>
    <ns0:row r="11" customFormat="false" ht="15" hidden="false" customHeight="false" outlineLevel="0" collapsed="false">
      <ns0:c r="A11" s="4" t="s">
        <ns0:v>690</ns0:v>
      </ns0:c>
    </ns0:row>
    <ns0:row r="12" customFormat="false" ht="15" hidden="false" customHeight="false" outlineLevel="0" collapsed="false">
      <ns0:c r="A12" s="4" t="s">
        <ns0:v>691</ns0:v>
      </ns0:c>
    </ns0:row>
    <ns0:row r="13" customFormat="false" ht="15" hidden="false" customHeight="false" outlineLevel="0" collapsed="false">
      <ns0:c r="A13" s="4" t="s">
        <ns0:v>692</ns0:v>
      </ns0:c>
    </ns0:row>
    <ns0:row r="14" customFormat="false" ht="41.75" hidden="false" customHeight="false" outlineLevel="0" collapsed="false">
      <ns0:c r="A14" s="4" t="s">
        <ns0:v>693</ns0:v>
      </ns0:c>
    </ns0:row>
    <ns0:row r="15" customFormat="false" ht="15" hidden="false" customHeight="false" outlineLevel="0" collapsed="false">
      <ns0:c r="A15" s="4" t="s">
        <ns0:v>694</ns0:v>
      </ns0:c>
    </ns0:row>
    <ns0:row r="16" customFormat="false" ht="15" hidden="false" customHeight="false" outlineLevel="0" collapsed="false">
      <ns0:c r="A16" s="4" t="s">
        <ns0:v>695</ns0:v>
      </ns0:c>
    </ns0:row>
    <ns0:row r="17" customFormat="false" ht="15" hidden="false" customHeight="false" outlineLevel="0" collapsed="false">
      <ns0:c r="A17" s="4" t="s">
        <ns0:v>696</ns0:v>
      </ns0:c>
    </ns0:row>
    <ns0:row r="18" customFormat="false" ht="28.35" hidden="false" customHeight="false" outlineLevel="0" collapsed="false">
      <ns0:c r="A18" s="4" t="s">
        <ns0:v>697</ns0:v>
      </ns0:c>
    </ns0:row>
    <ns0:row r="19" customFormat="false" ht="15" hidden="false" customHeight="false" outlineLevel="0" collapsed="false">
      <ns0:c r="A19" s="4" t="s">
        <ns0:v>698</ns0:v>
      </ns0:c>
    </ns0:row>
    <ns0:row r="20" customFormat="false" ht="15" hidden="false" customHeight="false" outlineLevel="0" collapsed="false">
      <ns0:c r="A20" s="4"/>
    </ns0:row>
    <ns0:row r="21" customFormat="false" ht="28.35" hidden="false" customHeight="false" outlineLevel="0" collapsed="false">
      <ns0:c r="A21" s="4" t="s">
        <ns0:v>699</ns0:v>
      </ns0:c>
    </ns0:row>
  </ns0:sheetData>
  <ns0:printOptions headings="false" gridLines="false" gridLinesSet="true" horizontalCentered="false" verticalCentered="false"/>
  <ns0:pageMargins left="0.4" right="0.4" top="0.4" bottom="0.4" header="0.511811023622047" footer="0.511811023622047"/>
  <ns0:pageSetup paperSize="9" scale="100" fitToWidth="1" fitToHeight="0" pageOrder="downThenOver" orientation="landscape" blackAndWhite="false" draft="false" cellComments="none" horizontalDpi="300" verticalDpi="300" copies="1"/>
  <ns0:headerFooter differentFirst="false" differentOddEven="false">
    <ns0:oddHeader/>
    <ns0:oddFooter/>
  </ns0:headerFooter>
</ns0:worksheet>
</file>

<file path=docProps/app.xml><?xml version="1.0" encoding="utf-8"?>
<ns0:Properties xmlns:ns0="http://schemas.openxmlformats.org/officeDocument/2006/extended-properties">
  <ns0:Template/>
  <ns0:TotalTime>0</ns0:TotalTime>
  <ns0:Application>LibreOffice/24.2.7.2$Linux_X86_64 LibreOffice_project/420$Build-2</ns0:Application>
  <ns0:AppVersion>15.0000</ns0:AppVersion>
</ns0:Properties>
</file>

<file path=docProps/core.xml><?xml version="1.0" encoding="utf-8"?>
<ns0:coreProperties xmlns:dc="http://purl.org/dc/elements/1.1/" xmlns:ns0="http://schemas.openxmlformats.org/package/2006/metadata/core-properties" xmlns:ns1="http://purl.org/dc/terms/" xmlns:xsi="http://www.w3.org/2001/XMLSchema-instance">
  <ns1:created xsi:type="dcterms:W3CDTF">2026-09-30T01:03:35Z</ns1:created>
  <dc:creator>Continuum public fixture</dc:creator>
  <dc:description/>
  <dc:language>en-US</dc:language>
  <ns0:lastModifiedBy>Continuum public fixture</ns0:lastModifiedBy>
  <ns1:modified xsi:type="dcterms:W3CDTF">2026-09-30T01:03:35Z</ns1:modified>
  <ns0:revision>0</ns0:revision>
  <dc:subject/>
  <dc:title/>
</ns0:coreProperties>
</file>

<file path=docProps/custom.xml><?xml version="1.0" encoding="utf-8"?>
<ns0:Properties xmlns:ns0="http://schemas.openxmlformats.org/officeDocument/2006/custom-properties"/>
</file>